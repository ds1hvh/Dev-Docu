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filterPrivacy="1" codeName="ThisWorkbook"/>
  <xr:revisionPtr revIDLastSave="0" documentId="13_ncr:1_{FA88672F-DA1F-482C-BCAB-3C81FED2BE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프로젝트 시간 표시 막대" sheetId="1" r:id="rId1"/>
    <sheet name="계산" sheetId="2" state="hidden" r:id="rId2"/>
  </sheets>
  <definedNames>
    <definedName name="DayRails">StartDateWindow+ROW('프로젝트 시간 표시 막대'!$1:$25)-1</definedName>
    <definedName name="GridCalc">IFERROR(계산!$A1/SUMPRODUCT( (Activities[Id]=계산!$C1)*(Activities[시작]&lt;=계산!A$31)*((Activities[종료]&gt;=계산!A$31)+(LEN(Activities[종료])=0)*(Activities[시작]=계산!A$31)) ),NA())</definedName>
    <definedName name="StartDate">계산!$D$28</definedName>
    <definedName name="StartDateWindow">계산!$D$25</definedName>
    <definedName name="WindowDays">계산!$D$29</definedName>
    <definedName name="WindowOffset">계산!$D$26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3" i="1" s="1"/>
  <c r="D24" i="1" s="1"/>
  <c r="E24" i="1" s="1"/>
  <c r="D3" i="2" l="1"/>
  <c r="F71" i="2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F69" i="2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D25" i="1" l="1"/>
  <c r="E25" i="1" s="1"/>
  <c r="D26" i="1" s="1"/>
  <c r="A33" i="2"/>
  <c r="A34" i="2" s="1"/>
  <c r="A35" i="2" s="1"/>
  <c r="A36" i="2" s="1"/>
  <c r="A37" i="2" s="1"/>
  <c r="A38" i="2" s="1"/>
  <c r="A39" i="2" s="1"/>
  <c r="A40" i="2" s="1"/>
  <c r="D28" i="2"/>
  <c r="D25" i="2" s="1"/>
  <c r="E14" i="2"/>
  <c r="E13" i="2"/>
  <c r="E12" i="2"/>
  <c r="E11" i="2"/>
  <c r="E10" i="2"/>
  <c r="E9" i="2"/>
  <c r="E8" i="2"/>
  <c r="E7" i="2"/>
  <c r="E6" i="2"/>
  <c r="B23" i="1"/>
  <c r="D27" i="1" l="1"/>
  <c r="E27" i="1" s="1"/>
  <c r="E31" i="2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H55" i="2" s="1"/>
  <c r="AH70" i="2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D28" i="1" l="1"/>
  <c r="D29" i="1" s="1"/>
  <c r="D30" i="1" s="1"/>
  <c r="D31" i="1" s="1"/>
  <c r="AH72" i="2"/>
  <c r="AH56" i="2"/>
  <c r="J55" i="2"/>
  <c r="J70" i="2" s="1"/>
  <c r="P43" i="2"/>
  <c r="U55" i="2"/>
  <c r="U70" i="2" s="1"/>
  <c r="I55" i="2"/>
  <c r="I70" i="2" s="1"/>
  <c r="I43" i="2"/>
  <c r="AB55" i="2"/>
  <c r="AB70" i="2" s="1"/>
  <c r="P55" i="2"/>
  <c r="P70" i="2" s="1"/>
  <c r="G55" i="2"/>
  <c r="G70" i="2" s="1"/>
  <c r="M55" i="2"/>
  <c r="M70" i="2" s="1"/>
  <c r="J43" i="2"/>
  <c r="N43" i="2"/>
  <c r="U43" i="2"/>
  <c r="AF55" i="2"/>
  <c r="AF70" i="2" s="1"/>
  <c r="AF43" i="2"/>
  <c r="Z43" i="2"/>
  <c r="T43" i="2"/>
  <c r="AG43" i="2"/>
  <c r="Y43" i="2"/>
  <c r="Z55" i="2"/>
  <c r="Z70" i="2" s="1"/>
  <c r="AB43" i="2"/>
  <c r="AA43" i="2"/>
  <c r="S43" i="2"/>
  <c r="T55" i="2"/>
  <c r="T70" i="2" s="1"/>
  <c r="M43" i="2"/>
  <c r="V43" i="2"/>
  <c r="O43" i="2"/>
  <c r="G43" i="2"/>
  <c r="H55" i="2"/>
  <c r="H70" i="2" s="1"/>
  <c r="L55" i="2"/>
  <c r="L70" i="2" s="1"/>
  <c r="AD55" i="2"/>
  <c r="AD70" i="2" s="1"/>
  <c r="X55" i="2"/>
  <c r="X70" i="2" s="1"/>
  <c r="R55" i="2"/>
  <c r="R70" i="2" s="1"/>
  <c r="V55" i="2"/>
  <c r="V70" i="2" s="1"/>
  <c r="Y55" i="2"/>
  <c r="Y70" i="2" s="1"/>
  <c r="O55" i="2"/>
  <c r="O70" i="2" s="1"/>
  <c r="N55" i="2"/>
  <c r="N70" i="2" s="1"/>
  <c r="H43" i="2"/>
  <c r="F55" i="2"/>
  <c r="F70" i="2" s="1"/>
  <c r="S55" i="2"/>
  <c r="S70" i="2" s="1"/>
  <c r="X43" i="2"/>
  <c r="AD43" i="2"/>
  <c r="R43" i="2"/>
  <c r="AG55" i="2"/>
  <c r="AG70" i="2" s="1"/>
  <c r="L43" i="2"/>
  <c r="AA55" i="2"/>
  <c r="AA70" i="2" s="1"/>
  <c r="F43" i="2"/>
  <c r="K43" i="2"/>
  <c r="AE55" i="2"/>
  <c r="AE70" i="2" s="1"/>
  <c r="AC43" i="2"/>
  <c r="W43" i="2"/>
  <c r="E43" i="2"/>
  <c r="AH43" i="2"/>
  <c r="Q55" i="2"/>
  <c r="Q70" i="2" s="1"/>
  <c r="AE43" i="2"/>
  <c r="K55" i="2"/>
  <c r="K70" i="2" s="1"/>
  <c r="E55" i="2"/>
  <c r="E70" i="2" s="1"/>
  <c r="Q43" i="2"/>
  <c r="W55" i="2"/>
  <c r="W70" i="2" s="1"/>
  <c r="AC55" i="2"/>
  <c r="AC70" i="2" s="1"/>
  <c r="AI31" i="2"/>
  <c r="E29" i="1" l="1"/>
  <c r="E28" i="1"/>
  <c r="P56" i="2"/>
  <c r="D32" i="1"/>
  <c r="E31" i="1"/>
  <c r="AA72" i="2"/>
  <c r="E72" i="2"/>
  <c r="F72" i="2"/>
  <c r="J56" i="2"/>
  <c r="AE72" i="2"/>
  <c r="AD72" i="2"/>
  <c r="AB72" i="2"/>
  <c r="X72" i="2"/>
  <c r="Z72" i="2"/>
  <c r="Q72" i="2"/>
  <c r="O72" i="2"/>
  <c r="L72" i="2"/>
  <c r="T72" i="2"/>
  <c r="S72" i="2"/>
  <c r="K72" i="2"/>
  <c r="Y72" i="2"/>
  <c r="I72" i="2"/>
  <c r="H72" i="2"/>
  <c r="V72" i="2"/>
  <c r="M72" i="2"/>
  <c r="U72" i="2"/>
  <c r="R56" i="2"/>
  <c r="R72" i="2"/>
  <c r="G72" i="2"/>
  <c r="AF72" i="2"/>
  <c r="P72" i="2"/>
  <c r="J72" i="2"/>
  <c r="W72" i="2"/>
  <c r="AG72" i="2"/>
  <c r="N72" i="2"/>
  <c r="AC72" i="2"/>
  <c r="AF56" i="2"/>
  <c r="G56" i="2"/>
  <c r="M56" i="2"/>
  <c r="U56" i="2"/>
  <c r="Y56" i="2"/>
  <c r="I56" i="2"/>
  <c r="AA56" i="2"/>
  <c r="E56" i="2"/>
  <c r="Z56" i="2"/>
  <c r="AE56" i="2"/>
  <c r="AD56" i="2"/>
  <c r="AB56" i="2"/>
  <c r="Q56" i="2"/>
  <c r="O56" i="2"/>
  <c r="F56" i="2"/>
  <c r="T56" i="2"/>
  <c r="H56" i="2"/>
  <c r="L56" i="2"/>
  <c r="AG56" i="2"/>
  <c r="X56" i="2"/>
  <c r="N56" i="2"/>
  <c r="S56" i="2"/>
  <c r="V56" i="2"/>
  <c r="K56" i="2"/>
  <c r="AC56" i="2"/>
  <c r="W56" i="2"/>
  <c r="D58" i="2"/>
  <c r="D59" i="2" s="1"/>
  <c r="D33" i="1" l="1"/>
  <c r="E32" i="1"/>
  <c r="D61" i="2"/>
  <c r="D62" i="2" s="1"/>
  <c r="D65" i="2"/>
  <c r="Q65" i="2" s="1"/>
  <c r="AH58" i="2"/>
  <c r="AH59" i="2" s="1"/>
  <c r="AB58" i="2"/>
  <c r="AB59" i="2" s="1"/>
  <c r="V58" i="2"/>
  <c r="V59" i="2" s="1"/>
  <c r="P58" i="2"/>
  <c r="P59" i="2" s="1"/>
  <c r="J58" i="2"/>
  <c r="J59" i="2" s="1"/>
  <c r="M58" i="2"/>
  <c r="M59" i="2" s="1"/>
  <c r="R58" i="2"/>
  <c r="R59" i="2" s="1"/>
  <c r="AG58" i="2"/>
  <c r="AG59" i="2" s="1"/>
  <c r="AA58" i="2"/>
  <c r="AA59" i="2" s="1"/>
  <c r="U58" i="2"/>
  <c r="U59" i="2" s="1"/>
  <c r="O58" i="2"/>
  <c r="O59" i="2" s="1"/>
  <c r="I58" i="2"/>
  <c r="I59" i="2" s="1"/>
  <c r="X58" i="2"/>
  <c r="X59" i="2" s="1"/>
  <c r="AF58" i="2"/>
  <c r="AF59" i="2" s="1"/>
  <c r="Z58" i="2"/>
  <c r="Z59" i="2" s="1"/>
  <c r="T58" i="2"/>
  <c r="T59" i="2" s="1"/>
  <c r="N58" i="2"/>
  <c r="N59" i="2" s="1"/>
  <c r="H58" i="2"/>
  <c r="H59" i="2" s="1"/>
  <c r="G58" i="2"/>
  <c r="G59" i="2" s="1"/>
  <c r="L58" i="2"/>
  <c r="L59" i="2" s="1"/>
  <c r="AE58" i="2"/>
  <c r="AE59" i="2" s="1"/>
  <c r="Y58" i="2"/>
  <c r="Y59" i="2" s="1"/>
  <c r="S58" i="2"/>
  <c r="S59" i="2" s="1"/>
  <c r="AD58" i="2"/>
  <c r="AD59" i="2" s="1"/>
  <c r="AC58" i="2"/>
  <c r="AC59" i="2" s="1"/>
  <c r="W58" i="2"/>
  <c r="W59" i="2" s="1"/>
  <c r="Q58" i="2"/>
  <c r="Q59" i="2" s="1"/>
  <c r="K58" i="2"/>
  <c r="K59" i="2" s="1"/>
  <c r="E58" i="2"/>
  <c r="E59" i="2" s="1"/>
  <c r="F58" i="2"/>
  <c r="F59" i="2" s="1"/>
  <c r="D34" i="1" l="1"/>
  <c r="E33" i="1"/>
  <c r="AA65" i="2"/>
  <c r="R65" i="2"/>
  <c r="AE65" i="2"/>
  <c r="AF65" i="2"/>
  <c r="U65" i="2"/>
  <c r="T65" i="2"/>
  <c r="Z65" i="2"/>
  <c r="K65" i="2"/>
  <c r="N65" i="2"/>
  <c r="I65" i="2"/>
  <c r="E65" i="2"/>
  <c r="Y65" i="2"/>
  <c r="J65" i="2"/>
  <c r="P65" i="2"/>
  <c r="AH65" i="2"/>
  <c r="F65" i="2"/>
  <c r="AG65" i="2"/>
  <c r="AC65" i="2"/>
  <c r="G65" i="2"/>
  <c r="D66" i="2"/>
  <c r="P66" i="2" s="1"/>
  <c r="H65" i="2"/>
  <c r="W65" i="2"/>
  <c r="L65" i="2"/>
  <c r="M65" i="2"/>
  <c r="AD65" i="2"/>
  <c r="AB65" i="2"/>
  <c r="V65" i="2"/>
  <c r="O65" i="2"/>
  <c r="S65" i="2"/>
  <c r="X65" i="2"/>
  <c r="AH61" i="2"/>
  <c r="AH62" i="2" s="1"/>
  <c r="P61" i="2"/>
  <c r="P62" i="2" s="1"/>
  <c r="U61" i="2"/>
  <c r="U62" i="2" s="1"/>
  <c r="AG61" i="2"/>
  <c r="AG62" i="2" s="1"/>
  <c r="AF61" i="2"/>
  <c r="AF62" i="2" s="1"/>
  <c r="Z61" i="2"/>
  <c r="Z62" i="2" s="1"/>
  <c r="T61" i="2"/>
  <c r="T62" i="2" s="1"/>
  <c r="N61" i="2"/>
  <c r="N62" i="2" s="1"/>
  <c r="H61" i="2"/>
  <c r="H62" i="2" s="1"/>
  <c r="V61" i="2"/>
  <c r="V62" i="2" s="1"/>
  <c r="I61" i="2"/>
  <c r="I62" i="2" s="1"/>
  <c r="AE61" i="2"/>
  <c r="AE62" i="2" s="1"/>
  <c r="Y61" i="2"/>
  <c r="Y62" i="2" s="1"/>
  <c r="S61" i="2"/>
  <c r="S62" i="2" s="1"/>
  <c r="M61" i="2"/>
  <c r="M62" i="2" s="1"/>
  <c r="G61" i="2"/>
  <c r="G62" i="2" s="1"/>
  <c r="AD61" i="2"/>
  <c r="AD62" i="2" s="1"/>
  <c r="X61" i="2"/>
  <c r="X62" i="2" s="1"/>
  <c r="R61" i="2"/>
  <c r="R62" i="2" s="1"/>
  <c r="L61" i="2"/>
  <c r="L62" i="2" s="1"/>
  <c r="F61" i="2"/>
  <c r="F62" i="2" s="1"/>
  <c r="AC61" i="2"/>
  <c r="AC62" i="2" s="1"/>
  <c r="W61" i="2"/>
  <c r="W62" i="2" s="1"/>
  <c r="K61" i="2"/>
  <c r="K62" i="2" s="1"/>
  <c r="E61" i="2"/>
  <c r="E62" i="2" s="1"/>
  <c r="AB61" i="2"/>
  <c r="AB62" i="2" s="1"/>
  <c r="J61" i="2"/>
  <c r="J62" i="2" s="1"/>
  <c r="AA61" i="2"/>
  <c r="AA62" i="2" s="1"/>
  <c r="O61" i="2"/>
  <c r="O62" i="2" s="1"/>
  <c r="Q61" i="2"/>
  <c r="Q62" i="2" s="1"/>
  <c r="E15" i="2" l="1" a="1"/>
  <c r="E15" i="2" s="1"/>
  <c r="E16" i="2" s="1" a="1"/>
  <c r="E16" i="2" s="1"/>
  <c r="E17" i="2" s="1" a="1"/>
  <c r="E17" i="2" s="1"/>
  <c r="E18" i="2" s="1" a="1"/>
  <c r="E18" i="2" s="1"/>
  <c r="E19" i="2" s="1" a="1"/>
  <c r="E19" i="2" s="1"/>
  <c r="E20" i="2" s="1" a="1"/>
  <c r="E20" i="2" s="1"/>
  <c r="E21" i="2" s="1" a="1"/>
  <c r="E21" i="2" s="1"/>
  <c r="E22" i="2" s="1" a="1"/>
  <c r="E22" i="2" s="1"/>
  <c r="E23" i="2" s="1" a="1"/>
  <c r="E23" i="2" s="1"/>
  <c r="D9" i="2"/>
  <c r="D11" i="2" s="1"/>
  <c r="F18" i="2" s="1"/>
  <c r="C35" i="2" s="1"/>
  <c r="AI35" i="2" s="1"/>
  <c r="AH66" i="2"/>
  <c r="H66" i="2"/>
  <c r="U66" i="2"/>
  <c r="F66" i="2"/>
  <c r="Z66" i="2"/>
  <c r="AE66" i="2"/>
  <c r="AF66" i="2"/>
  <c r="R66" i="2"/>
  <c r="Y66" i="2"/>
  <c r="AC66" i="2"/>
  <c r="W66" i="2"/>
  <c r="O66" i="2"/>
  <c r="AB66" i="2"/>
  <c r="V66" i="2"/>
  <c r="AD66" i="2"/>
  <c r="X66" i="2"/>
  <c r="AA66" i="2"/>
  <c r="Q66" i="2"/>
  <c r="I66" i="2"/>
  <c r="S66" i="2"/>
  <c r="K66" i="2"/>
  <c r="T66" i="2"/>
  <c r="M66" i="2"/>
  <c r="E66" i="2"/>
  <c r="N66" i="2"/>
  <c r="G66" i="2"/>
  <c r="J66" i="2"/>
  <c r="L66" i="2"/>
  <c r="AG66" i="2"/>
  <c r="C47" i="2" l="1"/>
  <c r="D47" i="2" s="1"/>
  <c r="AC35" i="2"/>
  <c r="S35" i="2"/>
  <c r="P35" i="2"/>
  <c r="D35" i="2"/>
  <c r="X35" i="2"/>
  <c r="E35" i="2"/>
  <c r="U35" i="2"/>
  <c r="AE35" i="2"/>
  <c r="G35" i="2"/>
  <c r="L35" i="2"/>
  <c r="Q35" i="2"/>
  <c r="AB35" i="2"/>
  <c r="AG35" i="2"/>
  <c r="AF35" i="2"/>
  <c r="F19" i="2"/>
  <c r="C36" i="2" s="1"/>
  <c r="AI36" i="2" s="1"/>
  <c r="Y35" i="2"/>
  <c r="M35" i="2"/>
  <c r="AD35" i="2"/>
  <c r="R35" i="2"/>
  <c r="F35" i="2"/>
  <c r="W35" i="2"/>
  <c r="K35" i="2"/>
  <c r="AH35" i="2"/>
  <c r="V35" i="2"/>
  <c r="J35" i="2"/>
  <c r="AA35" i="2"/>
  <c r="O35" i="2"/>
  <c r="T35" i="2"/>
  <c r="H35" i="2"/>
  <c r="I35" i="2"/>
  <c r="Z35" i="2"/>
  <c r="N35" i="2"/>
  <c r="F16" i="2"/>
  <c r="C33" i="2" s="1"/>
  <c r="AI33" i="2" s="1"/>
  <c r="F17" i="2"/>
  <c r="C34" i="2" s="1"/>
  <c r="I34" i="2" s="1"/>
  <c r="F15" i="2"/>
  <c r="C32" i="2" s="1"/>
  <c r="D32" i="2" s="1"/>
  <c r="F20" i="2"/>
  <c r="C37" i="2" s="1"/>
  <c r="F22" i="2"/>
  <c r="C39" i="2" s="1"/>
  <c r="F21" i="2"/>
  <c r="C38" i="2" s="1"/>
  <c r="F23" i="2"/>
  <c r="C40" i="2" s="1"/>
  <c r="AG47" i="2" l="1"/>
  <c r="O47" i="2"/>
  <c r="W47" i="2"/>
  <c r="AA47" i="2"/>
  <c r="AE47" i="2"/>
  <c r="AD47" i="2"/>
  <c r="E47" i="2"/>
  <c r="P47" i="2"/>
  <c r="R47" i="2"/>
  <c r="AH36" i="2"/>
  <c r="AH48" i="2" s="1"/>
  <c r="F47" i="2"/>
  <c r="Y36" i="2"/>
  <c r="R36" i="2"/>
  <c r="O36" i="2"/>
  <c r="I33" i="2"/>
  <c r="T47" i="2"/>
  <c r="U47" i="2"/>
  <c r="X47" i="2"/>
  <c r="AB47" i="2"/>
  <c r="S47" i="2"/>
  <c r="F34" i="2"/>
  <c r="AC34" i="2"/>
  <c r="C44" i="2"/>
  <c r="D44" i="2" s="1"/>
  <c r="D34" i="2"/>
  <c r="C46" i="2"/>
  <c r="D46" i="2" s="1"/>
  <c r="AI34" i="2"/>
  <c r="L47" i="2"/>
  <c r="AF47" i="2"/>
  <c r="D36" i="2"/>
  <c r="Q47" i="2"/>
  <c r="W36" i="2"/>
  <c r="J36" i="2"/>
  <c r="T36" i="2"/>
  <c r="J33" i="2"/>
  <c r="AH47" i="2"/>
  <c r="AD36" i="2"/>
  <c r="F36" i="2"/>
  <c r="K36" i="2"/>
  <c r="V36" i="2"/>
  <c r="AA36" i="2"/>
  <c r="AF36" i="2"/>
  <c r="H36" i="2"/>
  <c r="M36" i="2"/>
  <c r="C48" i="2"/>
  <c r="D48" i="2" s="1"/>
  <c r="M33" i="2"/>
  <c r="X33" i="2"/>
  <c r="V47" i="2"/>
  <c r="J47" i="2"/>
  <c r="K47" i="2"/>
  <c r="AC47" i="2"/>
  <c r="Y34" i="2"/>
  <c r="V34" i="2"/>
  <c r="S34" i="2"/>
  <c r="P34" i="2"/>
  <c r="Y47" i="2"/>
  <c r="H47" i="2"/>
  <c r="M47" i="2"/>
  <c r="G47" i="2"/>
  <c r="X36" i="2"/>
  <c r="L36" i="2"/>
  <c r="AC36" i="2"/>
  <c r="Q36" i="2"/>
  <c r="E36" i="2"/>
  <c r="AB36" i="2"/>
  <c r="P36" i="2"/>
  <c r="AG36" i="2"/>
  <c r="U36" i="2"/>
  <c r="I36" i="2"/>
  <c r="Z36" i="2"/>
  <c r="N36" i="2"/>
  <c r="AE36" i="2"/>
  <c r="S36" i="2"/>
  <c r="G36" i="2"/>
  <c r="R32" i="2"/>
  <c r="AF33" i="2"/>
  <c r="W33" i="2"/>
  <c r="Z33" i="2"/>
  <c r="E33" i="2"/>
  <c r="N47" i="2"/>
  <c r="I47" i="2"/>
  <c r="F32" i="2"/>
  <c r="V32" i="2"/>
  <c r="AA33" i="2"/>
  <c r="H33" i="2"/>
  <c r="R33" i="2"/>
  <c r="AH33" i="2"/>
  <c r="AH45" i="2" s="1"/>
  <c r="D33" i="2"/>
  <c r="S33" i="2"/>
  <c r="AC33" i="2"/>
  <c r="P33" i="2"/>
  <c r="T34" i="2"/>
  <c r="AD34" i="2"/>
  <c r="K34" i="2"/>
  <c r="AA34" i="2"/>
  <c r="N34" i="2"/>
  <c r="X34" i="2"/>
  <c r="E34" i="2"/>
  <c r="U34" i="2"/>
  <c r="AF34" i="2"/>
  <c r="H34" i="2"/>
  <c r="H46" i="2" s="1"/>
  <c r="M34" i="2"/>
  <c r="R34" i="2"/>
  <c r="W34" i="2"/>
  <c r="AH34" i="2"/>
  <c r="J34" i="2"/>
  <c r="I46" i="2" s="1"/>
  <c r="O34" i="2"/>
  <c r="Z34" i="2"/>
  <c r="AE34" i="2"/>
  <c r="AD46" i="2" s="1"/>
  <c r="G34" i="2"/>
  <c r="L34" i="2"/>
  <c r="Q34" i="2"/>
  <c r="AB34" i="2"/>
  <c r="AB46" i="2" s="1"/>
  <c r="AG34" i="2"/>
  <c r="Z47" i="2"/>
  <c r="P32" i="2"/>
  <c r="AE32" i="2"/>
  <c r="AB32" i="2"/>
  <c r="O32" i="2"/>
  <c r="AG33" i="2"/>
  <c r="N33" i="2"/>
  <c r="O33" i="2"/>
  <c r="T33" i="2"/>
  <c r="Y33" i="2"/>
  <c r="AD33" i="2"/>
  <c r="F33" i="2"/>
  <c r="K33" i="2"/>
  <c r="V33" i="2"/>
  <c r="C45" i="2"/>
  <c r="D45" i="2" s="1"/>
  <c r="U33" i="2"/>
  <c r="AE33" i="2"/>
  <c r="G33" i="2"/>
  <c r="L33" i="2"/>
  <c r="Q33" i="2"/>
  <c r="AB33" i="2"/>
  <c r="Y32" i="2"/>
  <c r="AC32" i="2"/>
  <c r="AD32" i="2"/>
  <c r="Z32" i="2"/>
  <c r="AA32" i="2"/>
  <c r="W32" i="2"/>
  <c r="H32" i="2"/>
  <c r="AG32" i="2"/>
  <c r="K32" i="2"/>
  <c r="X32" i="2"/>
  <c r="T32" i="2"/>
  <c r="Q32" i="2"/>
  <c r="L32" i="2"/>
  <c r="E32" i="2"/>
  <c r="M32" i="2"/>
  <c r="N32" i="2"/>
  <c r="I32" i="2"/>
  <c r="U32" i="2"/>
  <c r="J32" i="2"/>
  <c r="AI32" i="2"/>
  <c r="S32" i="2"/>
  <c r="G32" i="2"/>
  <c r="AF32" i="2"/>
  <c r="AH32" i="2"/>
  <c r="C52" i="2"/>
  <c r="D52" i="2" s="1"/>
  <c r="AI40" i="2"/>
  <c r="C51" i="2"/>
  <c r="D51" i="2" s="1"/>
  <c r="AI39" i="2"/>
  <c r="C49" i="2"/>
  <c r="D49" i="2" s="1"/>
  <c r="AI37" i="2"/>
  <c r="C50" i="2"/>
  <c r="D50" i="2" s="1"/>
  <c r="AI38" i="2"/>
  <c r="E38" i="2"/>
  <c r="K38" i="2"/>
  <c r="Q38" i="2"/>
  <c r="W38" i="2"/>
  <c r="AC38" i="2"/>
  <c r="F38" i="2"/>
  <c r="L38" i="2"/>
  <c r="R38" i="2"/>
  <c r="X38" i="2"/>
  <c r="AD38" i="2"/>
  <c r="G38" i="2"/>
  <c r="M38" i="2"/>
  <c r="S38" i="2"/>
  <c r="Y38" i="2"/>
  <c r="AE38" i="2"/>
  <c r="H38" i="2"/>
  <c r="N38" i="2"/>
  <c r="T38" i="2"/>
  <c r="Z38" i="2"/>
  <c r="AF38" i="2"/>
  <c r="I38" i="2"/>
  <c r="O38" i="2"/>
  <c r="U38" i="2"/>
  <c r="AA38" i="2"/>
  <c r="AG38" i="2"/>
  <c r="J38" i="2"/>
  <c r="P38" i="2"/>
  <c r="V38" i="2"/>
  <c r="AB38" i="2"/>
  <c r="AH38" i="2"/>
  <c r="I40" i="2"/>
  <c r="AG40" i="2"/>
  <c r="V40" i="2"/>
  <c r="Q40" i="2"/>
  <c r="F40" i="2"/>
  <c r="J40" i="2"/>
  <c r="AH40" i="2"/>
  <c r="AD40" i="2"/>
  <c r="E40" i="2"/>
  <c r="AC40" i="2"/>
  <c r="X40" i="2"/>
  <c r="L40" i="2"/>
  <c r="G40" i="2"/>
  <c r="M40" i="2"/>
  <c r="S40" i="2"/>
  <c r="Y40" i="2"/>
  <c r="AE40" i="2"/>
  <c r="H40" i="2"/>
  <c r="N40" i="2"/>
  <c r="T40" i="2"/>
  <c r="Z40" i="2"/>
  <c r="AF40" i="2"/>
  <c r="O40" i="2"/>
  <c r="U40" i="2"/>
  <c r="AA40" i="2"/>
  <c r="P40" i="2"/>
  <c r="AB40" i="2"/>
  <c r="K40" i="2"/>
  <c r="W40" i="2"/>
  <c r="R40" i="2"/>
  <c r="J39" i="2"/>
  <c r="P39" i="2"/>
  <c r="AB39" i="2"/>
  <c r="E39" i="2"/>
  <c r="K39" i="2"/>
  <c r="Q39" i="2"/>
  <c r="AC39" i="2"/>
  <c r="S39" i="2"/>
  <c r="F39" i="2"/>
  <c r="L39" i="2"/>
  <c r="R39" i="2"/>
  <c r="X39" i="2"/>
  <c r="AD39" i="2"/>
  <c r="G39" i="2"/>
  <c r="M39" i="2"/>
  <c r="AE39" i="2"/>
  <c r="H39" i="2"/>
  <c r="N39" i="2"/>
  <c r="T39" i="2"/>
  <c r="Z39" i="2"/>
  <c r="AF39" i="2"/>
  <c r="I39" i="2"/>
  <c r="O39" i="2"/>
  <c r="U39" i="2"/>
  <c r="AA39" i="2"/>
  <c r="AG39" i="2"/>
  <c r="V39" i="2"/>
  <c r="AH39" i="2"/>
  <c r="W39" i="2"/>
  <c r="Y39" i="2"/>
  <c r="F37" i="2"/>
  <c r="L37" i="2"/>
  <c r="R37" i="2"/>
  <c r="X37" i="2"/>
  <c r="AD37" i="2"/>
  <c r="G37" i="2"/>
  <c r="M37" i="2"/>
  <c r="S37" i="2"/>
  <c r="Y37" i="2"/>
  <c r="AE37" i="2"/>
  <c r="H37" i="2"/>
  <c r="N37" i="2"/>
  <c r="T37" i="2"/>
  <c r="Z37" i="2"/>
  <c r="AF37" i="2"/>
  <c r="I37" i="2"/>
  <c r="O37" i="2"/>
  <c r="U37" i="2"/>
  <c r="AA37" i="2"/>
  <c r="AG37" i="2"/>
  <c r="J37" i="2"/>
  <c r="P37" i="2"/>
  <c r="V37" i="2"/>
  <c r="AB37" i="2"/>
  <c r="AH37" i="2"/>
  <c r="E37" i="2"/>
  <c r="K37" i="2"/>
  <c r="Q37" i="2"/>
  <c r="W37" i="2"/>
  <c r="AC37" i="2"/>
  <c r="D38" i="2"/>
  <c r="D37" i="2"/>
  <c r="D40" i="2"/>
  <c r="D39" i="2"/>
  <c r="F48" i="2" l="1"/>
  <c r="AC46" i="2"/>
  <c r="S46" i="2"/>
  <c r="T48" i="2"/>
  <c r="AF46" i="2"/>
  <c r="H44" i="2"/>
  <c r="U46" i="2"/>
  <c r="J48" i="2"/>
  <c r="N44" i="2"/>
  <c r="L44" i="2"/>
  <c r="Z45" i="2"/>
  <c r="G48" i="2"/>
  <c r="I44" i="2"/>
  <c r="AG48" i="2"/>
  <c r="W44" i="2"/>
  <c r="AA48" i="2"/>
  <c r="AH46" i="2"/>
  <c r="H48" i="2"/>
  <c r="V48" i="2"/>
  <c r="W48" i="2"/>
  <c r="AA44" i="2"/>
  <c r="K44" i="2"/>
  <c r="AD48" i="2"/>
  <c r="O48" i="2"/>
  <c r="M48" i="2"/>
  <c r="I48" i="2"/>
  <c r="AB48" i="2"/>
  <c r="AE48" i="2"/>
  <c r="U48" i="2"/>
  <c r="E48" i="2"/>
  <c r="F46" i="2"/>
  <c r="E46" i="2"/>
  <c r="X48" i="2"/>
  <c r="F44" i="2"/>
  <c r="E44" i="2"/>
  <c r="L45" i="2"/>
  <c r="P48" i="2"/>
  <c r="L48" i="2"/>
  <c r="Z48" i="2"/>
  <c r="AC48" i="2"/>
  <c r="N48" i="2"/>
  <c r="Y48" i="2"/>
  <c r="Q48" i="2"/>
  <c r="K48" i="2"/>
  <c r="R44" i="2"/>
  <c r="P45" i="2"/>
  <c r="G45" i="2"/>
  <c r="E45" i="2"/>
  <c r="V46" i="2"/>
  <c r="F45" i="2"/>
  <c r="AE45" i="2"/>
  <c r="M45" i="2"/>
  <c r="O45" i="2"/>
  <c r="AG45" i="2"/>
  <c r="H45" i="2"/>
  <c r="AB45" i="2"/>
  <c r="AC45" i="2"/>
  <c r="W46" i="2"/>
  <c r="I45" i="2"/>
  <c r="R45" i="2"/>
  <c r="M46" i="2"/>
  <c r="K46" i="2"/>
  <c r="S48" i="2"/>
  <c r="AF48" i="2"/>
  <c r="V45" i="2"/>
  <c r="O46" i="2"/>
  <c r="W45" i="2"/>
  <c r="R48" i="2"/>
  <c r="J45" i="2"/>
  <c r="P46" i="2"/>
  <c r="AA46" i="2"/>
  <c r="T46" i="2"/>
  <c r="P44" i="2"/>
  <c r="V44" i="2"/>
  <c r="S45" i="2"/>
  <c r="Z46" i="2"/>
  <c r="AD44" i="2"/>
  <c r="R46" i="2"/>
  <c r="Q45" i="2"/>
  <c r="Y45" i="2"/>
  <c r="AF45" i="2"/>
  <c r="X46" i="2"/>
  <c r="J46" i="2"/>
  <c r="AA45" i="2"/>
  <c r="T45" i="2"/>
  <c r="X45" i="2"/>
  <c r="T44" i="2"/>
  <c r="N46" i="2"/>
  <c r="K45" i="2"/>
  <c r="AD45" i="2"/>
  <c r="Y46" i="2"/>
  <c r="AE44" i="2"/>
  <c r="O44" i="2"/>
  <c r="AG46" i="2"/>
  <c r="Q46" i="2"/>
  <c r="G46" i="2"/>
  <c r="L46" i="2"/>
  <c r="AE46" i="2"/>
  <c r="U45" i="2"/>
  <c r="N45" i="2"/>
  <c r="G44" i="2"/>
  <c r="Z44" i="2"/>
  <c r="Y44" i="2"/>
  <c r="M44" i="2"/>
  <c r="AH44" i="2"/>
  <c r="X44" i="2"/>
  <c r="Q44" i="2"/>
  <c r="U44" i="2"/>
  <c r="S44" i="2"/>
  <c r="J44" i="2"/>
  <c r="AC51" i="2"/>
  <c r="E50" i="2"/>
  <c r="Z50" i="2"/>
  <c r="H52" i="2"/>
  <c r="AG50" i="2"/>
  <c r="J50" i="2"/>
  <c r="AH52" i="2"/>
  <c r="V51" i="2"/>
  <c r="Y50" i="2"/>
  <c r="AG52" i="2"/>
  <c r="AF52" i="2"/>
  <c r="T52" i="2"/>
  <c r="AE50" i="2"/>
  <c r="M50" i="2"/>
  <c r="F50" i="2"/>
  <c r="AH50" i="2"/>
  <c r="V50" i="2"/>
  <c r="AG51" i="2"/>
  <c r="S52" i="2"/>
  <c r="AD50" i="2"/>
  <c r="AG49" i="2"/>
  <c r="AC50" i="2"/>
  <c r="AE49" i="2"/>
  <c r="AH51" i="2"/>
  <c r="AF51" i="2"/>
  <c r="K50" i="2"/>
  <c r="AB49" i="2"/>
  <c r="S50" i="2"/>
  <c r="O51" i="2"/>
  <c r="L50" i="2"/>
  <c r="AB52" i="2"/>
  <c r="Z49" i="2"/>
  <c r="AA50" i="2"/>
  <c r="Y52" i="2"/>
  <c r="AB50" i="2"/>
  <c r="R50" i="2"/>
  <c r="G52" i="2"/>
  <c r="R52" i="2"/>
  <c r="H49" i="2"/>
  <c r="Q49" i="2"/>
  <c r="T50" i="2"/>
  <c r="X50" i="2"/>
  <c r="N50" i="2"/>
  <c r="U50" i="2"/>
  <c r="AB51" i="2"/>
  <c r="AA51" i="2"/>
  <c r="U51" i="2"/>
  <c r="O49" i="2"/>
  <c r="K51" i="2"/>
  <c r="AA49" i="2"/>
  <c r="H50" i="2"/>
  <c r="AB44" i="2"/>
  <c r="AC44" i="2"/>
  <c r="M52" i="2"/>
  <c r="E51" i="2"/>
  <c r="O50" i="2"/>
  <c r="F51" i="2"/>
  <c r="AD51" i="2"/>
  <c r="N52" i="2"/>
  <c r="U49" i="2"/>
  <c r="J52" i="2"/>
  <c r="AA52" i="2"/>
  <c r="E52" i="2"/>
  <c r="AC52" i="2"/>
  <c r="K52" i="2"/>
  <c r="AD52" i="2"/>
  <c r="W51" i="2"/>
  <c r="F52" i="2"/>
  <c r="G50" i="2"/>
  <c r="Q52" i="2"/>
  <c r="L51" i="2"/>
  <c r="I52" i="2"/>
  <c r="P51" i="2"/>
  <c r="X52" i="2"/>
  <c r="Y49" i="2"/>
  <c r="I50" i="2"/>
  <c r="Z52" i="2"/>
  <c r="Q50" i="2"/>
  <c r="X49" i="2"/>
  <c r="N51" i="2"/>
  <c r="F49" i="2"/>
  <c r="V52" i="2"/>
  <c r="R51" i="2"/>
  <c r="M49" i="2"/>
  <c r="L49" i="2"/>
  <c r="G49" i="2"/>
  <c r="AF50" i="2"/>
  <c r="W50" i="2"/>
  <c r="N49" i="2"/>
  <c r="T49" i="2"/>
  <c r="I49" i="2"/>
  <c r="AH49" i="2"/>
  <c r="W49" i="2"/>
  <c r="AF49" i="2"/>
  <c r="W52" i="2"/>
  <c r="S49" i="2"/>
  <c r="E49" i="2"/>
  <c r="AD49" i="2"/>
  <c r="V49" i="2"/>
  <c r="R49" i="2"/>
  <c r="J49" i="2"/>
  <c r="K49" i="2"/>
  <c r="AC49" i="2"/>
  <c r="P49" i="2"/>
  <c r="L52" i="2"/>
  <c r="J51" i="2"/>
  <c r="I51" i="2"/>
  <c r="X51" i="2"/>
  <c r="AE51" i="2"/>
  <c r="M51" i="2"/>
  <c r="Q51" i="2"/>
  <c r="G51" i="2"/>
  <c r="H51" i="2"/>
  <c r="S51" i="2"/>
  <c r="T51" i="2"/>
  <c r="P50" i="2"/>
  <c r="Z51" i="2"/>
  <c r="Y51" i="2"/>
  <c r="AE52" i="2"/>
  <c r="U52" i="2"/>
  <c r="P52" i="2"/>
  <c r="O52" i="2"/>
  <c r="AF44" i="2" l="1"/>
  <c r="AG44" i="2"/>
</calcChain>
</file>

<file path=xl/sharedStrings.xml><?xml version="1.0" encoding="utf-8"?>
<sst xmlns="http://schemas.openxmlformats.org/spreadsheetml/2006/main" count="31" uniqueCount="29">
  <si>
    <t>Id</t>
  </si>
  <si>
    <t>Current Day</t>
  </si>
  <si>
    <t xml:space="preserve">시작 날짜 입력: </t>
  </si>
  <si>
    <t>활동</t>
  </si>
  <si>
    <t>시작</t>
  </si>
  <si>
    <t>종료</t>
  </si>
  <si>
    <t>참고</t>
  </si>
  <si>
    <t>중요 시점 6</t>
  </si>
  <si>
    <t>중요 시점 7</t>
  </si>
  <si>
    <t>중요 시점 8</t>
  </si>
  <si>
    <t>중요 시점 9</t>
  </si>
  <si>
    <t>중요 시점 10</t>
  </si>
  <si>
    <t>프로젝트 종료</t>
  </si>
  <si>
    <t>위치</t>
  </si>
  <si>
    <t>계열</t>
  </si>
  <si>
    <t>활동 ID</t>
  </si>
  <si>
    <t>계산 창 시작</t>
  </si>
  <si>
    <t>오프셋</t>
  </si>
  <si>
    <t>창</t>
  </si>
  <si>
    <t>*** 이 시트는 숨겨 두어야 합니다. ***</t>
  </si>
  <si>
    <t>오늘:</t>
  </si>
  <si>
    <t>창 활동:</t>
  </si>
  <si>
    <t>PD Review</t>
    <phoneticPr fontId="7" type="noConversion"/>
  </si>
  <si>
    <t>Critical Design Step</t>
    <phoneticPr fontId="7" type="noConversion"/>
  </si>
  <si>
    <t>Pre-Design Step</t>
    <phoneticPr fontId="7" type="noConversion"/>
  </si>
  <si>
    <t>CDR</t>
    <phoneticPr fontId="7" type="noConversion"/>
  </si>
  <si>
    <t>SW  -   DTNE</t>
    <phoneticPr fontId="7" type="noConversion"/>
  </si>
  <si>
    <t>TRR</t>
    <phoneticPr fontId="7" type="noConversion"/>
  </si>
  <si>
    <t>PDR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</si>
</sst>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mm\ yyyy"/>
    <numFmt numFmtId="177" formatCode="yyyy&quot;년&quot;\ mm&quot;월&quot;"/>
  </numFmts>
  <fonts count="8" x14ac:knownFonts="1">
    <font>
      <sz val="10"/>
      <color theme="3"/>
      <name val="Calibri"/>
      <family val="2"/>
      <scheme val="minor"/>
    </font>
    <font>
      <sz val="10"/>
      <color theme="3"/>
      <name val="맑은 고딕"/>
      <family val="3"/>
      <charset val="129"/>
    </font>
    <font>
      <sz val="30"/>
      <color theme="0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sz val="14"/>
      <color theme="3" tint="0.39997558519241921"/>
      <name val="맑은 고딕"/>
      <family val="3"/>
      <charset val="129"/>
    </font>
    <font>
      <sz val="10"/>
      <color theme="3" tint="0.39997558519241921"/>
      <name val="맑은 고딕"/>
      <family val="3"/>
      <charset val="129"/>
    </font>
    <font>
      <sz val="12"/>
      <color theme="3"/>
      <name val="맑은 고딕"/>
      <family val="3"/>
      <charset val="129"/>
    </font>
    <font>
      <sz val="8"/>
      <name val="돋움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3"/>
      </right>
      <top/>
      <bottom style="thick">
        <color theme="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3" borderId="1" xfId="0" applyFont="1" applyFill="1" applyBorder="1" applyProtection="1">
      <alignment vertical="center"/>
    </xf>
    <xf numFmtId="0" fontId="1" fillId="2" borderId="1" xfId="0" applyFont="1" applyFill="1" applyBorder="1" applyProtection="1">
      <alignment vertical="center"/>
    </xf>
    <xf numFmtId="0" fontId="2" fillId="3" borderId="1" xfId="0" applyFont="1" applyFill="1" applyBorder="1" applyAlignment="1" applyProtection="1">
      <alignment horizontal="left" vertical="center"/>
    </xf>
    <xf numFmtId="0" fontId="1" fillId="3" borderId="3" xfId="0" applyFont="1" applyFill="1" applyBorder="1" applyProtection="1">
      <alignment vertical="center"/>
    </xf>
    <xf numFmtId="0" fontId="1" fillId="2" borderId="0" xfId="0" applyFont="1" applyFill="1" applyProtection="1">
      <alignment vertical="center"/>
    </xf>
    <xf numFmtId="0" fontId="1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1" fillId="0" borderId="1" xfId="0" applyFont="1" applyBorder="1" applyProtection="1">
      <alignment vertical="center"/>
    </xf>
    <xf numFmtId="0" fontId="1" fillId="0" borderId="0" xfId="0" applyFont="1" applyFill="1" applyProtection="1">
      <alignment vertical="center"/>
    </xf>
    <xf numFmtId="0" fontId="4" fillId="0" borderId="0" xfId="0" applyFont="1" applyFill="1" applyAlignment="1" applyProtection="1">
      <alignment horizontal="right"/>
    </xf>
    <xf numFmtId="14" fontId="5" fillId="0" borderId="2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Protection="1">
      <alignment vertical="center"/>
    </xf>
    <xf numFmtId="0" fontId="6" fillId="0" borderId="0" xfId="0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left" vertical="center" indent="1"/>
    </xf>
    <xf numFmtId="14" fontId="1" fillId="0" borderId="0" xfId="0" applyNumberFormat="1" applyFont="1" applyFill="1" applyBorder="1" applyAlignment="1" applyProtection="1">
      <alignment horizontal="left" vertical="center" indent="1"/>
    </xf>
    <xf numFmtId="0" fontId="1" fillId="0" borderId="0" xfId="0" applyNumberFormat="1" applyFont="1" applyFill="1" applyBorder="1" applyProtection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6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</cellXfs>
  <cellStyles count="1">
    <cellStyle name="표준" xfId="0" builtinId="0" customBuiltin="1"/>
  </cellStyles>
  <dxfs count="11">
    <dxf>
      <font>
        <strike val="0"/>
        <outline val="0"/>
        <shadow val="0"/>
        <u val="none"/>
        <vertAlign val="baseline"/>
        <name val="맑은 고딕"/>
        <scheme val="none"/>
      </font>
      <alignment horizontal="lef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numFmt numFmtId="178" formatCode="mm/dd/yyyy"/>
      <alignment horizontal="lef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numFmt numFmtId="178" formatCode="mm/dd/yyyy"/>
      <alignment horizontal="lef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alignment horizontal="left" vertical="center" textRotation="0" wrapText="0" indent="1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protection locked="1" hidden="0"/>
    </dxf>
    <dxf>
      <font>
        <strike val="0"/>
        <outline val="0"/>
        <shadow val="0"/>
        <u val="none"/>
        <vertAlign val="baseline"/>
        <name val="맑은 고딕"/>
        <scheme val="none"/>
      </font>
      <protection locked="1" hidden="0"/>
    </dxf>
    <dxf>
      <font>
        <color theme="3"/>
      </font>
      <fill>
        <patternFill>
          <bgColor theme="2"/>
        </patternFill>
      </fill>
    </dxf>
    <dxf>
      <font>
        <color theme="3"/>
      </font>
    </dxf>
    <dxf>
      <font>
        <color theme="0"/>
      </font>
      <fill>
        <patternFill patternType="solid">
          <fgColor theme="4"/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 style="thin">
          <color theme="3" tint="0.59996337778862885"/>
        </vertical>
        <horizontal/>
      </border>
    </dxf>
  </dxfs>
  <tableStyles count="1" defaultTableStyle="TableStyleMedium2" defaultPivotStyle="PivotStyleLight8">
    <tableStyle name="Project Timeline" pivot="0" count="4" xr9:uid="{00000000-0011-0000-FFFF-FFFF00000000}">
      <tableStyleElement type="wholeTable" dxfId="10"/>
      <tableStyleElement type="headerRow" dxfId="9"/>
      <tableStyleElement type="firstRowStripe" dxfId="8"/>
      <tableStyleElement type="secondRowStripe" dxfId="7"/>
    </tableStyle>
  </tableStyles>
  <colors>
    <mruColors>
      <color rgb="FFCCFFCC"/>
      <color rgb="FFD1CBE1"/>
      <color rgb="FFFED9CD"/>
      <color rgb="FFFF5757"/>
      <color rgb="FFFAE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계산!$B$32</c:f>
              <c:strCache>
                <c:ptCount val="1"/>
                <c:pt idx="0">
                  <c:v>1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계산!$E$31:$AH$31</c:f>
              <c:numCache>
                <c:formatCode>m/d/yyyy</c:formatCode>
                <c:ptCount val="30"/>
                <c:pt idx="0">
                  <c:v>44141</c:v>
                </c:pt>
                <c:pt idx="1">
                  <c:v>44142</c:v>
                </c:pt>
                <c:pt idx="2">
                  <c:v>44143</c:v>
                </c:pt>
                <c:pt idx="3">
                  <c:v>44144</c:v>
                </c:pt>
                <c:pt idx="4">
                  <c:v>44145</c:v>
                </c:pt>
                <c:pt idx="5">
                  <c:v>44146</c:v>
                </c:pt>
                <c:pt idx="6">
                  <c:v>44147</c:v>
                </c:pt>
                <c:pt idx="7">
                  <c:v>44148</c:v>
                </c:pt>
                <c:pt idx="8">
                  <c:v>44149</c:v>
                </c:pt>
                <c:pt idx="9">
                  <c:v>44150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44156</c:v>
                </c:pt>
                <c:pt idx="16">
                  <c:v>44157</c:v>
                </c:pt>
                <c:pt idx="17">
                  <c:v>44158</c:v>
                </c:pt>
                <c:pt idx="18">
                  <c:v>44159</c:v>
                </c:pt>
                <c:pt idx="19">
                  <c:v>44160</c:v>
                </c:pt>
                <c:pt idx="20">
                  <c:v>44161</c:v>
                </c:pt>
                <c:pt idx="21">
                  <c:v>44162</c:v>
                </c:pt>
                <c:pt idx="22">
                  <c:v>44163</c:v>
                </c:pt>
                <c:pt idx="23">
                  <c:v>44164</c:v>
                </c:pt>
                <c:pt idx="24">
                  <c:v>44165</c:v>
                </c:pt>
                <c:pt idx="25">
                  <c:v>44166</c:v>
                </c:pt>
                <c:pt idx="26">
                  <c:v>44167</c:v>
                </c:pt>
                <c:pt idx="27">
                  <c:v>44168</c:v>
                </c:pt>
                <c:pt idx="28">
                  <c:v>44169</c:v>
                </c:pt>
                <c:pt idx="29">
                  <c:v>44170</c:v>
                </c:pt>
              </c:numCache>
            </c:numRef>
          </c:cat>
          <c:val>
            <c:numRef>
              <c:f>계산!$E$32:$AH$32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4-45D5-A722-D044773C43FD}"/>
            </c:ext>
          </c:extLst>
        </c:ser>
        <c:ser>
          <c:idx val="5"/>
          <c:order val="1"/>
          <c:tx>
            <c:strRef>
              <c:f>계산!$D$44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계산!$E$44:$AH$44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4-45D5-A722-D044773C43FD}"/>
            </c:ext>
          </c:extLst>
        </c:ser>
        <c:ser>
          <c:idx val="1"/>
          <c:order val="2"/>
          <c:tx>
            <c:strRef>
              <c:f>계산!$B$33</c:f>
              <c:strCache>
                <c:ptCount val="1"/>
                <c:pt idx="0">
                  <c:v>2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</c:spPr>
          </c:marker>
          <c:cat>
            <c:numRef>
              <c:f>계산!$E$31:$AH$31</c:f>
              <c:numCache>
                <c:formatCode>m/d/yyyy</c:formatCode>
                <c:ptCount val="30"/>
                <c:pt idx="0">
                  <c:v>44141</c:v>
                </c:pt>
                <c:pt idx="1">
                  <c:v>44142</c:v>
                </c:pt>
                <c:pt idx="2">
                  <c:v>44143</c:v>
                </c:pt>
                <c:pt idx="3">
                  <c:v>44144</c:v>
                </c:pt>
                <c:pt idx="4">
                  <c:v>44145</c:v>
                </c:pt>
                <c:pt idx="5">
                  <c:v>44146</c:v>
                </c:pt>
                <c:pt idx="6">
                  <c:v>44147</c:v>
                </c:pt>
                <c:pt idx="7">
                  <c:v>44148</c:v>
                </c:pt>
                <c:pt idx="8">
                  <c:v>44149</c:v>
                </c:pt>
                <c:pt idx="9">
                  <c:v>44150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44156</c:v>
                </c:pt>
                <c:pt idx="16">
                  <c:v>44157</c:v>
                </c:pt>
                <c:pt idx="17">
                  <c:v>44158</c:v>
                </c:pt>
                <c:pt idx="18">
                  <c:v>44159</c:v>
                </c:pt>
                <c:pt idx="19">
                  <c:v>44160</c:v>
                </c:pt>
                <c:pt idx="20">
                  <c:v>44161</c:v>
                </c:pt>
                <c:pt idx="21">
                  <c:v>44162</c:v>
                </c:pt>
                <c:pt idx="22">
                  <c:v>44163</c:v>
                </c:pt>
                <c:pt idx="23">
                  <c:v>44164</c:v>
                </c:pt>
                <c:pt idx="24">
                  <c:v>44165</c:v>
                </c:pt>
                <c:pt idx="25">
                  <c:v>44166</c:v>
                </c:pt>
                <c:pt idx="26">
                  <c:v>44167</c:v>
                </c:pt>
                <c:pt idx="27">
                  <c:v>44168</c:v>
                </c:pt>
                <c:pt idx="28">
                  <c:v>44169</c:v>
                </c:pt>
                <c:pt idx="29">
                  <c:v>44170</c:v>
                </c:pt>
              </c:numCache>
            </c:numRef>
          </c:cat>
          <c:val>
            <c:numRef>
              <c:f>계산!$E$33:$AH$33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4-45D5-A722-D044773C43FD}"/>
            </c:ext>
          </c:extLst>
        </c:ser>
        <c:ser>
          <c:idx val="6"/>
          <c:order val="3"/>
          <c:tx>
            <c:strRef>
              <c:f>계산!$D$45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계산!$E$45:$AH$45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B4-45D5-A722-D044773C43FD}"/>
            </c:ext>
          </c:extLst>
        </c:ser>
        <c:ser>
          <c:idx val="2"/>
          <c:order val="4"/>
          <c:tx>
            <c:strRef>
              <c:f>계산!$B$34</c:f>
              <c:strCache>
                <c:ptCount val="1"/>
                <c:pt idx="0">
                  <c:v>3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계산!$E$31:$AH$31</c:f>
              <c:numCache>
                <c:formatCode>m/d/yyyy</c:formatCode>
                <c:ptCount val="30"/>
                <c:pt idx="0">
                  <c:v>44141</c:v>
                </c:pt>
                <c:pt idx="1">
                  <c:v>44142</c:v>
                </c:pt>
                <c:pt idx="2">
                  <c:v>44143</c:v>
                </c:pt>
                <c:pt idx="3">
                  <c:v>44144</c:v>
                </c:pt>
                <c:pt idx="4">
                  <c:v>44145</c:v>
                </c:pt>
                <c:pt idx="5">
                  <c:v>44146</c:v>
                </c:pt>
                <c:pt idx="6">
                  <c:v>44147</c:v>
                </c:pt>
                <c:pt idx="7">
                  <c:v>44148</c:v>
                </c:pt>
                <c:pt idx="8">
                  <c:v>44149</c:v>
                </c:pt>
                <c:pt idx="9">
                  <c:v>44150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44156</c:v>
                </c:pt>
                <c:pt idx="16">
                  <c:v>44157</c:v>
                </c:pt>
                <c:pt idx="17">
                  <c:v>44158</c:v>
                </c:pt>
                <c:pt idx="18">
                  <c:v>44159</c:v>
                </c:pt>
                <c:pt idx="19">
                  <c:v>44160</c:v>
                </c:pt>
                <c:pt idx="20">
                  <c:v>44161</c:v>
                </c:pt>
                <c:pt idx="21">
                  <c:v>44162</c:v>
                </c:pt>
                <c:pt idx="22">
                  <c:v>44163</c:v>
                </c:pt>
                <c:pt idx="23">
                  <c:v>44164</c:v>
                </c:pt>
                <c:pt idx="24">
                  <c:v>44165</c:v>
                </c:pt>
                <c:pt idx="25">
                  <c:v>44166</c:v>
                </c:pt>
                <c:pt idx="26">
                  <c:v>44167</c:v>
                </c:pt>
                <c:pt idx="27">
                  <c:v>44168</c:v>
                </c:pt>
                <c:pt idx="28">
                  <c:v>44169</c:v>
                </c:pt>
                <c:pt idx="29">
                  <c:v>44170</c:v>
                </c:pt>
              </c:numCache>
            </c:numRef>
          </c:cat>
          <c:val>
            <c:numRef>
              <c:f>계산!$E$34:$AH$34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B4-45D5-A722-D044773C43FD}"/>
            </c:ext>
          </c:extLst>
        </c:ser>
        <c:ser>
          <c:idx val="7"/>
          <c:order val="5"/>
          <c:tx>
            <c:strRef>
              <c:f>계산!$D$46</c:f>
              <c:strCache>
                <c:ptCount val="1"/>
                <c:pt idx="0">
                  <c:v>#N/A</c:v>
                </c:pt>
              </c:strCache>
            </c:strRef>
          </c:tx>
          <c:spPr>
            <a:ln cap="sq"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계산!$E$46:$AH$46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B4-45D5-A722-D044773C43FD}"/>
            </c:ext>
          </c:extLst>
        </c:ser>
        <c:ser>
          <c:idx val="3"/>
          <c:order val="6"/>
          <c:tx>
            <c:strRef>
              <c:f>계산!$B$35</c:f>
              <c:strCache>
                <c:ptCount val="1"/>
                <c:pt idx="0">
                  <c:v>4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계산!$E$31:$AH$31</c:f>
              <c:numCache>
                <c:formatCode>m/d/yyyy</c:formatCode>
                <c:ptCount val="30"/>
                <c:pt idx="0">
                  <c:v>44141</c:v>
                </c:pt>
                <c:pt idx="1">
                  <c:v>44142</c:v>
                </c:pt>
                <c:pt idx="2">
                  <c:v>44143</c:v>
                </c:pt>
                <c:pt idx="3">
                  <c:v>44144</c:v>
                </c:pt>
                <c:pt idx="4">
                  <c:v>44145</c:v>
                </c:pt>
                <c:pt idx="5">
                  <c:v>44146</c:v>
                </c:pt>
                <c:pt idx="6">
                  <c:v>44147</c:v>
                </c:pt>
                <c:pt idx="7">
                  <c:v>44148</c:v>
                </c:pt>
                <c:pt idx="8">
                  <c:v>44149</c:v>
                </c:pt>
                <c:pt idx="9">
                  <c:v>44150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44156</c:v>
                </c:pt>
                <c:pt idx="16">
                  <c:v>44157</c:v>
                </c:pt>
                <c:pt idx="17">
                  <c:v>44158</c:v>
                </c:pt>
                <c:pt idx="18">
                  <c:v>44159</c:v>
                </c:pt>
                <c:pt idx="19">
                  <c:v>44160</c:v>
                </c:pt>
                <c:pt idx="20">
                  <c:v>44161</c:v>
                </c:pt>
                <c:pt idx="21">
                  <c:v>44162</c:v>
                </c:pt>
                <c:pt idx="22">
                  <c:v>44163</c:v>
                </c:pt>
                <c:pt idx="23">
                  <c:v>44164</c:v>
                </c:pt>
                <c:pt idx="24">
                  <c:v>44165</c:v>
                </c:pt>
                <c:pt idx="25">
                  <c:v>44166</c:v>
                </c:pt>
                <c:pt idx="26">
                  <c:v>44167</c:v>
                </c:pt>
                <c:pt idx="27">
                  <c:v>44168</c:v>
                </c:pt>
                <c:pt idx="28">
                  <c:v>44169</c:v>
                </c:pt>
                <c:pt idx="29">
                  <c:v>44170</c:v>
                </c:pt>
              </c:numCache>
            </c:numRef>
          </c:cat>
          <c:val>
            <c:numRef>
              <c:f>계산!$E$35:$AH$35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B4-45D5-A722-D044773C43FD}"/>
            </c:ext>
          </c:extLst>
        </c:ser>
        <c:ser>
          <c:idx val="8"/>
          <c:order val="7"/>
          <c:tx>
            <c:strRef>
              <c:f>계산!$D$47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계산!$E$47:$AH$47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B4-45D5-A722-D044773C43FD}"/>
            </c:ext>
          </c:extLst>
        </c:ser>
        <c:ser>
          <c:idx val="4"/>
          <c:order val="8"/>
          <c:tx>
            <c:strRef>
              <c:f>계산!$B$36</c:f>
              <c:strCache>
                <c:ptCount val="1"/>
                <c:pt idx="0">
                  <c:v>5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계산!$E$31:$AH$31</c:f>
              <c:numCache>
                <c:formatCode>m/d/yyyy</c:formatCode>
                <c:ptCount val="30"/>
                <c:pt idx="0">
                  <c:v>44141</c:v>
                </c:pt>
                <c:pt idx="1">
                  <c:v>44142</c:v>
                </c:pt>
                <c:pt idx="2">
                  <c:v>44143</c:v>
                </c:pt>
                <c:pt idx="3">
                  <c:v>44144</c:v>
                </c:pt>
                <c:pt idx="4">
                  <c:v>44145</c:v>
                </c:pt>
                <c:pt idx="5">
                  <c:v>44146</c:v>
                </c:pt>
                <c:pt idx="6">
                  <c:v>44147</c:v>
                </c:pt>
                <c:pt idx="7">
                  <c:v>44148</c:v>
                </c:pt>
                <c:pt idx="8">
                  <c:v>44149</c:v>
                </c:pt>
                <c:pt idx="9">
                  <c:v>44150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44156</c:v>
                </c:pt>
                <c:pt idx="16">
                  <c:v>44157</c:v>
                </c:pt>
                <c:pt idx="17">
                  <c:v>44158</c:v>
                </c:pt>
                <c:pt idx="18">
                  <c:v>44159</c:v>
                </c:pt>
                <c:pt idx="19">
                  <c:v>44160</c:v>
                </c:pt>
                <c:pt idx="20">
                  <c:v>44161</c:v>
                </c:pt>
                <c:pt idx="21">
                  <c:v>44162</c:v>
                </c:pt>
                <c:pt idx="22">
                  <c:v>44163</c:v>
                </c:pt>
                <c:pt idx="23">
                  <c:v>44164</c:v>
                </c:pt>
                <c:pt idx="24">
                  <c:v>44165</c:v>
                </c:pt>
                <c:pt idx="25">
                  <c:v>44166</c:v>
                </c:pt>
                <c:pt idx="26">
                  <c:v>44167</c:v>
                </c:pt>
                <c:pt idx="27">
                  <c:v>44168</c:v>
                </c:pt>
                <c:pt idx="28">
                  <c:v>44169</c:v>
                </c:pt>
                <c:pt idx="29">
                  <c:v>44170</c:v>
                </c:pt>
              </c:numCache>
            </c:numRef>
          </c:cat>
          <c:val>
            <c:numRef>
              <c:f>계산!$E$36:$AH$36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B4-45D5-A722-D044773C43FD}"/>
            </c:ext>
          </c:extLst>
        </c:ser>
        <c:ser>
          <c:idx val="9"/>
          <c:order val="9"/>
          <c:tx>
            <c:strRef>
              <c:f>계산!$D$48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계산!$E$48:$AH$48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B4-45D5-A722-D044773C43FD}"/>
            </c:ext>
          </c:extLst>
        </c:ser>
        <c:ser>
          <c:idx val="10"/>
          <c:order val="10"/>
          <c:tx>
            <c:strRef>
              <c:f>계산!$B$37</c:f>
              <c:strCache>
                <c:ptCount val="1"/>
                <c:pt idx="0">
                  <c:v>6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val>
            <c:numRef>
              <c:f>계산!$E$37:$AH$37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B4-45D5-A722-D044773C43FD}"/>
            </c:ext>
          </c:extLst>
        </c:ser>
        <c:ser>
          <c:idx val="11"/>
          <c:order val="11"/>
          <c:tx>
            <c:strRef>
              <c:f>계산!$D$49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계산!$E$49:$AH$49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7B4-45D5-A722-D044773C43FD}"/>
            </c:ext>
          </c:extLst>
        </c:ser>
        <c:ser>
          <c:idx val="12"/>
          <c:order val="12"/>
          <c:tx>
            <c:strRef>
              <c:f>계산!$B$38</c:f>
              <c:strCache>
                <c:ptCount val="1"/>
                <c:pt idx="0">
                  <c:v>7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val>
            <c:numRef>
              <c:f>계산!$E$38:$AH$38</c:f>
              <c:numCache>
                <c:formatCode>General</c:formatCode>
                <c:ptCount val="30"/>
                <c:pt idx="0">
                  <c:v>#N/A</c:v>
                </c:pt>
                <c:pt idx="1">
                  <c:v>5.3000000000000007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B4-45D5-A722-D044773C43FD}"/>
            </c:ext>
          </c:extLst>
        </c:ser>
        <c:ser>
          <c:idx val="13"/>
          <c:order val="13"/>
          <c:tx>
            <c:strRef>
              <c:f>계산!$D$50</c:f>
              <c:strCache>
                <c:ptCount val="1"/>
                <c:pt idx="0">
                  <c:v>PDR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계산!$E$50:$AH$50</c:f>
              <c:numCache>
                <c:formatCode>General</c:formatCode>
                <c:ptCount val="30"/>
                <c:pt idx="0">
                  <c:v>#N/A</c:v>
                </c:pt>
                <c:pt idx="1">
                  <c:v>5.3000000000000007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7B4-45D5-A722-D044773C43FD}"/>
            </c:ext>
          </c:extLst>
        </c:ser>
        <c:ser>
          <c:idx val="14"/>
          <c:order val="14"/>
          <c:tx>
            <c:strRef>
              <c:f>계산!$B$39</c:f>
              <c:strCache>
                <c:ptCount val="1"/>
                <c:pt idx="0">
                  <c:v>8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val>
            <c:numRef>
              <c:f>계산!$E$39:$AH$39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4.3000000000000007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B4-45D5-A722-D044773C43FD}"/>
            </c:ext>
          </c:extLst>
        </c:ser>
        <c:ser>
          <c:idx val="15"/>
          <c:order val="15"/>
          <c:tx>
            <c:strRef>
              <c:f>계산!$D$51</c:f>
              <c:strCache>
                <c:ptCount val="1"/>
                <c:pt idx="0">
                  <c:v>TRR</c:v>
                </c:pt>
              </c:strCache>
            </c:strRef>
          </c:tx>
          <c:spPr>
            <a:ln cap="sq"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계산!$E$51:$AH$51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4.3000000000000007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7B4-45D5-A722-D044773C43FD}"/>
            </c:ext>
          </c:extLst>
        </c:ser>
        <c:ser>
          <c:idx val="16"/>
          <c:order val="16"/>
          <c:tx>
            <c:strRef>
              <c:f>계산!$B$40</c:f>
              <c:strCache>
                <c:ptCount val="1"/>
                <c:pt idx="0">
                  <c:v>9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val>
            <c:numRef>
              <c:f>계산!$E$40:$AH$40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3.3000000000000007</c:v>
                </c:pt>
                <c:pt idx="8">
                  <c:v>3.3000000000000007</c:v>
                </c:pt>
                <c:pt idx="9">
                  <c:v>3.3000000000000007</c:v>
                </c:pt>
                <c:pt idx="10">
                  <c:v>3.3000000000000007</c:v>
                </c:pt>
                <c:pt idx="11">
                  <c:v>3.3000000000000007</c:v>
                </c:pt>
                <c:pt idx="12">
                  <c:v>3.3000000000000007</c:v>
                </c:pt>
                <c:pt idx="13">
                  <c:v>3.3000000000000007</c:v>
                </c:pt>
                <c:pt idx="14">
                  <c:v>3.3000000000000007</c:v>
                </c:pt>
                <c:pt idx="15">
                  <c:v>3.3000000000000007</c:v>
                </c:pt>
                <c:pt idx="16">
                  <c:v>3.3000000000000007</c:v>
                </c:pt>
                <c:pt idx="17">
                  <c:v>3.3000000000000007</c:v>
                </c:pt>
                <c:pt idx="18">
                  <c:v>3.3000000000000007</c:v>
                </c:pt>
                <c:pt idx="19">
                  <c:v>3.3000000000000007</c:v>
                </c:pt>
                <c:pt idx="20">
                  <c:v>3.3000000000000007</c:v>
                </c:pt>
                <c:pt idx="21">
                  <c:v>3.3000000000000007</c:v>
                </c:pt>
                <c:pt idx="22">
                  <c:v>3.3000000000000007</c:v>
                </c:pt>
                <c:pt idx="23">
                  <c:v>3.3000000000000007</c:v>
                </c:pt>
                <c:pt idx="24">
                  <c:v>3.3000000000000007</c:v>
                </c:pt>
                <c:pt idx="25">
                  <c:v>3.3000000000000007</c:v>
                </c:pt>
                <c:pt idx="26">
                  <c:v>3.3000000000000007</c:v>
                </c:pt>
                <c:pt idx="27">
                  <c:v>3.3000000000000007</c:v>
                </c:pt>
                <c:pt idx="28">
                  <c:v>3.3000000000000007</c:v>
                </c:pt>
                <c:pt idx="29">
                  <c:v>3.3000000000000007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B4-45D5-A722-D044773C43FD}"/>
            </c:ext>
          </c:extLst>
        </c:ser>
        <c:ser>
          <c:idx val="17"/>
          <c:order val="17"/>
          <c:tx>
            <c:strRef>
              <c:f>계산!$D$52</c:f>
              <c:strCache>
                <c:ptCount val="1"/>
                <c:pt idx="0">
                  <c:v>PRE-DESIGN STEP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계산!$E$52:$AH$52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B4-45D5-A722-D044773C43FD}"/>
            </c:ext>
          </c:extLst>
        </c:ser>
        <c:ser>
          <c:idx val="18"/>
          <c:order val="18"/>
          <c:tx>
            <c:v>Today</c:v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"/>
            <c:spPr>
              <a:ln w="263525">
                <a:solidFill>
                  <a:schemeClr val="bg1">
                    <a:lumMod val="95000"/>
                  </a:schemeClr>
                </a:solidFill>
              </a:ln>
            </c:spPr>
          </c:errBars>
          <c:val>
            <c:numRef>
              <c:f>계산!$E$56:$AH$56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7B4-45D5-A722-D044773C43FD}"/>
            </c:ext>
          </c:extLst>
        </c:ser>
        <c:ser>
          <c:idx val="19"/>
          <c:order val="19"/>
          <c:tx>
            <c:strRef>
              <c:f>계산!$D$58</c:f>
              <c:strCache>
                <c:ptCount val="1"/>
                <c:pt idx="0">
                  <c:v>Nov 2020</c:v>
                </c:pt>
              </c:strCache>
            </c:strRef>
          </c:tx>
          <c:spPr>
            <a:ln w="228600" cap="sq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계산!$E$58:$AH$58</c:f>
              <c:numCache>
                <c:formatCode>General</c:formatCode>
                <c:ptCount val="3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B4-45D5-A722-D044773C43FD}"/>
            </c:ext>
          </c:extLst>
        </c:ser>
        <c:ser>
          <c:idx val="20"/>
          <c:order val="20"/>
          <c:tx>
            <c:strRef>
              <c:f>계산!$D$61</c:f>
              <c:strCache>
                <c:ptCount val="1"/>
                <c:pt idx="0">
                  <c:v>Dec 2020</c:v>
                </c:pt>
              </c:strCache>
            </c:strRef>
          </c:tx>
          <c:spPr>
            <a:ln w="228600" cap="sq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계산!$E$61:$AH$61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7B4-45D5-A722-D044773C43FD}"/>
            </c:ext>
          </c:extLst>
        </c:ser>
        <c:ser>
          <c:idx val="21"/>
          <c:order val="21"/>
          <c:tx>
            <c:strRef>
              <c:f>계산!$D$66</c:f>
              <c:strCache>
                <c:ptCount val="1"/>
                <c:pt idx="0">
                  <c:v>2020년 12월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계산!$E$66:$AH$66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B4-45D5-A722-D044773C43FD}"/>
            </c:ext>
          </c:extLst>
        </c:ser>
        <c:ser>
          <c:idx val="22"/>
          <c:order val="22"/>
          <c:tx>
            <c:strRef>
              <c:f>계산!$D$65</c:f>
              <c:strCache>
                <c:ptCount val="1"/>
                <c:pt idx="0">
                  <c:v>2020년 11월</c:v>
                </c:pt>
              </c:strCache>
            </c:strRef>
          </c:tx>
          <c:spPr>
            <a:ln w="209550" cap="sq"/>
          </c:spPr>
          <c:marker>
            <c:symbol val="none"/>
          </c:marker>
          <c:dPt>
            <c:idx val="2"/>
            <c:bubble3D val="0"/>
            <c:spPr>
              <a:ln w="28575" cap="sq"/>
            </c:spPr>
            <c:extLst>
              <c:ext xmlns:c16="http://schemas.microsoft.com/office/drawing/2014/chart" uri="{C3380CC4-5D6E-409C-BE32-E72D297353CC}">
                <c16:uniqueId val="{00000017-D7B4-45D5-A722-D044773C4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계산!$E$65:$AH$65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7B4-45D5-A722-D044773C43FD}"/>
            </c:ext>
          </c:extLst>
        </c:ser>
        <c:ser>
          <c:idx val="24"/>
          <c:order val="23"/>
          <c:tx>
            <c:v>Day Dot Line</c:v>
          </c:tx>
          <c:spPr>
            <a:ln w="15875">
              <a:solidFill>
                <a:schemeClr val="tx2"/>
              </a:solidFill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계산!$E$72</c:f>
                  <c:strCache>
                    <c:ptCount val="1"/>
                    <c:pt idx="0">
                      <c:v>06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{91A215EF-E6AB-4415-A3C0-BCA03518DE8B}</c15:txfldGUID>
                      <c15:f>계산!$E$72</c15:f>
                      <c15:dlblFieldTableCache>
                        <c:ptCount val="1"/>
                        <c:pt idx="0">
                          <c:v>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7B4-45D5-A722-D044773C43FD}"/>
                </c:ext>
              </c:extLst>
            </c:dLbl>
            <c:dLbl>
              <c:idx val="1"/>
              <c:tx>
                <c:strRef>
                  <c:f>계산!$F$72</c:f>
                  <c:strCache>
                    <c:ptCount val="1"/>
                    <c:pt idx="0">
                      <c:v>07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{09DDF169-BA2C-4C09-B9ED-716D4C02ADEE}</c15:txfldGUID>
                      <c15:f>계산!$F$72</c15:f>
                      <c15:dlblFieldTableCache>
                        <c:ptCount val="1"/>
                        <c:pt idx="0">
                          <c:v>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7B4-45D5-A722-D044773C43FD}"/>
                </c:ext>
              </c:extLst>
            </c:dLbl>
            <c:dLbl>
              <c:idx val="2"/>
              <c:tx>
                <c:strRef>
                  <c:f>계산!$G$72</c:f>
                  <c:strCache>
                    <c:ptCount val="1"/>
                    <c:pt idx="0">
                      <c:v>08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{430AD501-83DF-4444-9CC0-70ECA850A32D}</c15:txfldGUID>
                      <c15:f>계산!$G$72</c15:f>
                      <c15:dlblFieldTableCache>
                        <c:ptCount val="1"/>
                        <c:pt idx="0">
                          <c:v>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7B4-45D5-A722-D044773C43FD}"/>
                </c:ext>
              </c:extLst>
            </c:dLbl>
            <c:dLbl>
              <c:idx val="3"/>
              <c:tx>
                <c:strRef>
                  <c:f>계산!$H$72</c:f>
                  <c:strCache>
                    <c:ptCount val="1"/>
                    <c:pt idx="0">
                      <c:v>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{14ACD93D-8578-42EE-B1E2-5D47A4FD683D}</c15:txfldGUID>
                      <c15:f>계산!$H$72</c15:f>
                      <c15:dlblFieldTableCache>
                        <c:ptCount val="1"/>
                        <c:pt idx="0">
                          <c:v>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7B4-45D5-A722-D044773C43FD}"/>
                </c:ext>
              </c:extLst>
            </c:dLbl>
            <c:dLbl>
              <c:idx val="4"/>
              <c:tx>
                <c:strRef>
                  <c:f>계산!$I$72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{20BFE5BC-F155-4F2A-A588-ED3273D69424}</c15:txfldGUID>
                      <c15:f>계산!$I$72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7B4-45D5-A722-D044773C43FD}"/>
                </c:ext>
              </c:extLst>
            </c:dLbl>
            <c:dLbl>
              <c:idx val="5"/>
              <c:tx>
                <c:strRef>
                  <c:f>계산!$J$72</c:f>
                  <c:strCache>
                    <c:ptCount val="1"/>
                    <c:pt idx="0">
                      <c:v>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{3524706A-07B7-4658-9659-494AC626BBDC}</c15:txfldGUID>
                      <c15:f>계산!$J$72</c15:f>
                      <c15:dlblFieldTableCache>
                        <c:ptCount val="1"/>
                        <c:pt idx="0">
                          <c:v>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7B4-45D5-A722-D044773C43FD}"/>
                </c:ext>
              </c:extLst>
            </c:dLbl>
            <c:dLbl>
              <c:idx val="6"/>
              <c:tx>
                <c:strRef>
                  <c:f>계산!$K$72</c:f>
                  <c:strCache>
                    <c:ptCount val="1"/>
                    <c:pt idx="0">
                      <c:v>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{4CAEC9D7-F633-44D5-A50B-EBFE140E3DB2}</c15:txfldGUID>
                      <c15:f>계산!$K$72</c15:f>
                      <c15:dlblFieldTableCache>
                        <c:ptCount val="1"/>
                        <c:pt idx="0">
                          <c:v>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7B4-45D5-A722-D044773C43FD}"/>
                </c:ext>
              </c:extLst>
            </c:dLbl>
            <c:dLbl>
              <c:idx val="7"/>
              <c:tx>
                <c:strRef>
                  <c:f>계산!$L$72</c:f>
                  <c:strCache>
                    <c:ptCount val="1"/>
                    <c:pt idx="0">
                      <c:v>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{A19B6FC7-4240-48CD-8853-F1FF173AA568}</c15:txfldGUID>
                      <c15:f>계산!$L$72</c15:f>
                      <c15:dlblFieldTableCache>
                        <c:ptCount val="1"/>
                        <c:pt idx="0">
                          <c:v>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7B4-45D5-A722-D044773C43FD}"/>
                </c:ext>
              </c:extLst>
            </c:dLbl>
            <c:dLbl>
              <c:idx val="8"/>
              <c:tx>
                <c:strRef>
                  <c:f>계산!$M$72</c:f>
                  <c:strCache>
                    <c:ptCount val="1"/>
                    <c:pt idx="0">
                      <c:v>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{A5899B06-BD90-4E10-B81F-2634F6C204F7}</c15:txfldGUID>
                      <c15:f>계산!$M$72</c15:f>
                      <c15:dlblFieldTableCache>
                        <c:ptCount val="1"/>
                        <c:pt idx="0">
                          <c:v>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7B4-45D5-A722-D044773C43FD}"/>
                </c:ext>
              </c:extLst>
            </c:dLbl>
            <c:dLbl>
              <c:idx val="9"/>
              <c:tx>
                <c:strRef>
                  <c:f>계산!$N$72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{0845FED4-581B-4C84-B511-0F8F42482DC9}</c15:txfldGUID>
                      <c15:f>계산!$N$72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7B4-45D5-A722-D044773C43FD}"/>
                </c:ext>
              </c:extLst>
            </c:dLbl>
            <c:dLbl>
              <c:idx val="10"/>
              <c:tx>
                <c:strRef>
                  <c:f>계산!$O$72</c:f>
                  <c:strCache>
                    <c:ptCount val="1"/>
                    <c:pt idx="0">
                      <c:v>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{A5BE3DBE-577D-4F49-88FD-BAA4B5DCEEB4}</c15:txfldGUID>
                      <c15:f>계산!$O$72</c15:f>
                      <c15:dlblFieldTableCache>
                        <c:ptCount val="1"/>
                        <c:pt idx="0">
                          <c:v>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7B4-45D5-A722-D044773C43FD}"/>
                </c:ext>
              </c:extLst>
            </c:dLbl>
            <c:dLbl>
              <c:idx val="11"/>
              <c:tx>
                <c:strRef>
                  <c:f>계산!$P$72</c:f>
                  <c:strCache>
                    <c:ptCount val="1"/>
                    <c:pt idx="0">
                      <c:v>17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{2A5B1652-0D0F-4A85-ABC3-2D2C17A5AAC7}</c15:txfldGUID>
                      <c15:f>계산!$P$72</c15:f>
                      <c15:dlblFieldTableCache>
                        <c:ptCount val="1"/>
                        <c:pt idx="0">
                          <c:v>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7B4-45D5-A722-D044773C43FD}"/>
                </c:ext>
              </c:extLst>
            </c:dLbl>
            <c:dLbl>
              <c:idx val="12"/>
              <c:tx>
                <c:strRef>
                  <c:f>계산!$Q$72</c:f>
                  <c:strCache>
                    <c:ptCount val="1"/>
                    <c:pt idx="0">
                      <c:v>18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{20EAAB4A-2129-4A97-8F1A-47F6875C9811}</c15:txfldGUID>
                      <c15:f>계산!$Q$72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7B4-45D5-A722-D044773C43FD}"/>
                </c:ext>
              </c:extLst>
            </c:dLbl>
            <c:dLbl>
              <c:idx val="13"/>
              <c:tx>
                <c:strRef>
                  <c:f>계산!$R$72</c:f>
                  <c:strCache>
                    <c:ptCount val="1"/>
                    <c:pt idx="0">
                      <c:v>19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{F4D6B496-F3F9-4392-A38A-18CCB29BA45D}</c15:txfldGUID>
                      <c15:f>계산!$R$72</c15:f>
                      <c15:dlblFieldTableCache>
                        <c:ptCount val="1"/>
                        <c:pt idx="0">
                          <c:v>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7B4-45D5-A722-D044773C43FD}"/>
                </c:ext>
              </c:extLst>
            </c:dLbl>
            <c:dLbl>
              <c:idx val="14"/>
              <c:tx>
                <c:strRef>
                  <c:f>계산!$S$72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{24A94088-7187-4264-94D8-EADF2B766AD6}</c15:txfldGUID>
                      <c15:f>계산!$S$72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7B4-45D5-A722-D044773C43FD}"/>
                </c:ext>
              </c:extLst>
            </c:dLbl>
            <c:dLbl>
              <c:idx val="15"/>
              <c:tx>
                <c:strRef>
                  <c:f>계산!$T$72</c:f>
                  <c:strCache>
                    <c:ptCount val="1"/>
                    <c:pt idx="0">
                      <c:v>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{194ADDAB-30FF-40C0-B781-29D7466F03D9}</c15:txfldGUID>
                      <c15:f>계산!$T$72</c15:f>
                      <c15:dlblFieldTableCache>
                        <c:ptCount val="1"/>
                        <c:pt idx="0">
                          <c:v>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7B4-45D5-A722-D044773C43FD}"/>
                </c:ext>
              </c:extLst>
            </c:dLbl>
            <c:dLbl>
              <c:idx val="16"/>
              <c:tx>
                <c:strRef>
                  <c:f>계산!$U$72</c:f>
                  <c:strCache>
                    <c:ptCount val="1"/>
                    <c:pt idx="0">
                      <c:v>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{8BA238C6-302F-4E82-87B0-8771777B6078}</c15:txfldGUID>
                      <c15:f>계산!$U$72</c15:f>
                      <c15:dlblFieldTableCache>
                        <c:ptCount val="1"/>
                        <c:pt idx="0">
                          <c:v>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7B4-45D5-A722-D044773C43FD}"/>
                </c:ext>
              </c:extLst>
            </c:dLbl>
            <c:dLbl>
              <c:idx val="17"/>
              <c:tx>
                <c:strRef>
                  <c:f>계산!$V$72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{B0E4D94B-727F-4AA6-9BBF-4971DA2324BA}</c15:txfldGUID>
                      <c15:f>계산!$V$72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7B4-45D5-A722-D044773C43FD}"/>
                </c:ext>
              </c:extLst>
            </c:dLbl>
            <c:dLbl>
              <c:idx val="18"/>
              <c:tx>
                <c:strRef>
                  <c:f>계산!$W$72</c:f>
                  <c:strCache>
                    <c:ptCount val="1"/>
                    <c:pt idx="0">
                      <c:v>24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{DAC4AD20-3D9F-474C-A42F-573A27DD3C27}</c15:txfldGUID>
                      <c15:f>계산!$W$72</c15:f>
                      <c15:dlblFieldTableCache>
                        <c:ptCount val="1"/>
                        <c:pt idx="0">
                          <c:v>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7B4-45D5-A722-D044773C43FD}"/>
                </c:ext>
              </c:extLst>
            </c:dLbl>
            <c:dLbl>
              <c:idx val="19"/>
              <c:tx>
                <c:strRef>
                  <c:f>계산!$X$72</c:f>
                  <c:strCache>
                    <c:ptCount val="1"/>
                    <c:pt idx="0">
                      <c:v>25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{42648DAE-F456-4718-B8D3-18117CD6A36F}</c15:txfldGUID>
                      <c15:f>계산!$X$72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7B4-45D5-A722-D044773C43FD}"/>
                </c:ext>
              </c:extLst>
            </c:dLbl>
            <c:dLbl>
              <c:idx val="20"/>
              <c:tx>
                <c:strRef>
                  <c:f>계산!$Y$72</c:f>
                  <c:strCache>
                    <c:ptCount val="1"/>
                    <c:pt idx="0">
                      <c:v>26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{DDDFDACC-06B4-4DB0-BE82-249ECDB7289A}</c15:txfldGUID>
                      <c15:f>계산!$Y$72</c15:f>
                      <c15:dlblFieldTableCache>
                        <c:ptCount val="1"/>
                        <c:pt idx="0">
                          <c:v>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7B4-45D5-A722-D044773C43FD}"/>
                </c:ext>
              </c:extLst>
            </c:dLbl>
            <c:dLbl>
              <c:idx val="21"/>
              <c:tx>
                <c:strRef>
                  <c:f>계산!$Z$72</c:f>
                  <c:strCache>
                    <c:ptCount val="1"/>
                    <c:pt idx="0">
                      <c:v>27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{1848B5A9-F307-4CF5-B41F-DD6202382575}</c15:txfldGUID>
                      <c15:f>계산!$Z$72</c15:f>
                      <c15:dlblFieldTableCache>
                        <c:ptCount val="1"/>
                        <c:pt idx="0">
                          <c:v>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7B4-45D5-A722-D044773C43FD}"/>
                </c:ext>
              </c:extLst>
            </c:dLbl>
            <c:dLbl>
              <c:idx val="22"/>
              <c:tx>
                <c:strRef>
                  <c:f>계산!$AA$72</c:f>
                  <c:strCache>
                    <c:ptCount val="1"/>
                    <c:pt idx="0">
                      <c:v>28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{A5EF3923-1EAE-4E5D-9753-D7BF710E8F5A}</c15:txfldGUID>
                      <c15:f>계산!$AA$72</c15:f>
                      <c15:dlblFieldTableCache>
                        <c:ptCount val="1"/>
                        <c:pt idx="0">
                          <c:v>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7B4-45D5-A722-D044773C43FD}"/>
                </c:ext>
              </c:extLst>
            </c:dLbl>
            <c:dLbl>
              <c:idx val="23"/>
              <c:tx>
                <c:strRef>
                  <c:f>계산!$AB$72</c:f>
                  <c:strCache>
                    <c:ptCount val="1"/>
                    <c:pt idx="0">
                      <c:v>29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{73D6BA48-4E30-4119-AFC6-91CD5951C0AB}</c15:txfldGUID>
                      <c15:f>계산!$AB$72</c15:f>
                      <c15:dlblFieldTableCache>
                        <c:ptCount val="1"/>
                        <c:pt idx="0">
                          <c:v>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7B4-45D5-A722-D044773C43FD}"/>
                </c:ext>
              </c:extLst>
            </c:dLbl>
            <c:dLbl>
              <c:idx val="24"/>
              <c:tx>
                <c:strRef>
                  <c:f>계산!$AC$72</c:f>
                  <c:strCache>
                    <c:ptCount val="1"/>
                    <c:pt idx="0">
                      <c:v>30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{699BCB0A-BC66-4943-8B6D-595AE557ABA2}</c15:txfldGUID>
                      <c15:f>계산!$AC$72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7B4-45D5-A722-D044773C43FD}"/>
                </c:ext>
              </c:extLst>
            </c:dLbl>
            <c:dLbl>
              <c:idx val="25"/>
              <c:tx>
                <c:strRef>
                  <c:f>계산!$AD$72</c:f>
                  <c:strCache>
                    <c:ptCount val="1"/>
                    <c:pt idx="0">
                      <c:v>01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{944CC116-603A-4A4C-A35B-F1E001AD8234}</c15:txfldGUID>
                      <c15:f>계산!$AD$72</c15:f>
                      <c15:dlblFieldTableCache>
                        <c:ptCount val="1"/>
                        <c:pt idx="0">
                          <c:v>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7B4-45D5-A722-D044773C43FD}"/>
                </c:ext>
              </c:extLst>
            </c:dLbl>
            <c:dLbl>
              <c:idx val="26"/>
              <c:tx>
                <c:strRef>
                  <c:f>계산!$AE$72</c:f>
                  <c:strCache>
                    <c:ptCount val="1"/>
                    <c:pt idx="0">
                      <c:v>02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{A0FB9164-1405-4AC6-B115-4C1BF4CEE8DE}</c15:txfldGUID>
                      <c15:f>계산!$AE$72</c15:f>
                      <c15:dlblFieldTableCache>
                        <c:ptCount val="1"/>
                        <c:pt idx="0">
                          <c:v>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7B4-45D5-A722-D044773C43FD}"/>
                </c:ext>
              </c:extLst>
            </c:dLbl>
            <c:dLbl>
              <c:idx val="27"/>
              <c:tx>
                <c:strRef>
                  <c:f>계산!$AF$72</c:f>
                  <c:strCache>
                    <c:ptCount val="1"/>
                    <c:pt idx="0">
                      <c:v>03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{F49DAF4B-34C1-4BEF-9891-71550A9D3928}</c15:txfldGUID>
                      <c15:f>계산!$AF$72</c15:f>
                      <c15:dlblFieldTableCache>
                        <c:ptCount val="1"/>
                        <c:pt idx="0">
                          <c:v>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7B4-45D5-A722-D044773C43FD}"/>
                </c:ext>
              </c:extLst>
            </c:dLbl>
            <c:dLbl>
              <c:idx val="28"/>
              <c:tx>
                <c:strRef>
                  <c:f>계산!$AG$72</c:f>
                  <c:strCache>
                    <c:ptCount val="1"/>
                    <c:pt idx="0">
                      <c:v>04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{F2A64F58-9CF8-45DA-A0E0-3D739D4A200D}</c15:txfldGUID>
                      <c15:f>계산!$AG$72</c15:f>
                      <c15:dlblFieldTableCache>
                        <c:ptCount val="1"/>
                        <c:pt idx="0">
                          <c:v>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7B4-45D5-A722-D044773C43FD}"/>
                </c:ext>
              </c:extLst>
            </c:dLbl>
            <c:dLbl>
              <c:idx val="29"/>
              <c:tx>
                <c:strRef>
                  <c:f>계산!$AH$72</c:f>
                  <c:strCache>
                    <c:ptCount val="1"/>
                    <c:pt idx="0">
                      <c:v>05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{7A0F2232-3927-4797-9C86-9055E130374D}</c15:txfldGUID>
                      <c15:f>계산!$AH$72</c15:f>
                      <c15:dlblFieldTableCache>
                        <c:ptCount val="1"/>
                        <c:pt idx="0">
                          <c:v>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7B4-45D5-A722-D044773C4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계산!$E$71:$AH$71</c:f>
              <c:numCache>
                <c:formatCode>General</c:formatCode>
                <c:ptCount val="3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7B4-45D5-A722-D044773C43FD}"/>
            </c:ext>
          </c:extLst>
        </c:ser>
        <c:ser>
          <c:idx val="23"/>
          <c:order val="24"/>
          <c:tx>
            <c:v>Day Dot Line For Text Labels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계산!$E$70</c:f>
                  <c:strCache>
                    <c:ptCount val="1"/>
                    <c:pt idx="0">
                      <c:v>금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{BA4A687C-4A0D-4F4F-B3C6-90D5AAC3D400}</c15:txfldGUID>
                      <c15:f>계산!$E$70</c15:f>
                      <c15:dlblFieldTableCache>
                        <c:ptCount val="1"/>
                        <c:pt idx="0">
                          <c:v>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7B4-45D5-A722-D044773C43FD}"/>
                </c:ext>
              </c:extLst>
            </c:dLbl>
            <c:dLbl>
              <c:idx val="1"/>
              <c:tx>
                <c:strRef>
                  <c:f>계산!$F$70</c:f>
                  <c:strCache>
                    <c:ptCount val="1"/>
                    <c:pt idx="0">
                      <c:v>토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{8A20461F-888A-449A-BE1A-7233AFF83E32}</c15:txfldGUID>
                      <c15:f>계산!$F$70</c15:f>
                      <c15:dlblFieldTableCache>
                        <c:ptCount val="1"/>
                        <c:pt idx="0">
                          <c:v>토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7B4-45D5-A722-D044773C43FD}"/>
                </c:ext>
              </c:extLst>
            </c:dLbl>
            <c:dLbl>
              <c:idx val="2"/>
              <c:tx>
                <c:strRef>
                  <c:f>계산!$G$70</c:f>
                  <c:strCache>
                    <c:ptCount val="1"/>
                    <c:pt idx="0">
                      <c:v>일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{388A0624-2F64-4D24-8E65-5E16E538E4C2}</c15:txfldGUID>
                      <c15:f>계산!$G$70</c15:f>
                      <c15:dlblFieldTableCache>
                        <c:ptCount val="1"/>
                        <c:pt idx="0">
                          <c:v>일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7B4-45D5-A722-D044773C43FD}"/>
                </c:ext>
              </c:extLst>
            </c:dLbl>
            <c:dLbl>
              <c:idx val="3"/>
              <c:tx>
                <c:strRef>
                  <c:f>계산!$H$70</c:f>
                  <c:strCache>
                    <c:ptCount val="1"/>
                    <c:pt idx="0">
                      <c:v>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{8C226639-7770-4BC9-992C-5544D178C861}</c15:txfldGUID>
                      <c15:f>계산!$H$70</c15:f>
                      <c15:dlblFieldTableCache>
                        <c:ptCount val="1"/>
                        <c:pt idx="0">
                          <c:v>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7B4-45D5-A722-D044773C43FD}"/>
                </c:ext>
              </c:extLst>
            </c:dLbl>
            <c:dLbl>
              <c:idx val="4"/>
              <c:tx>
                <c:strRef>
                  <c:f>계산!$I$70</c:f>
                  <c:strCache>
                    <c:ptCount val="1"/>
                    <c:pt idx="0">
                      <c:v>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{4041AEB8-32CD-4508-97A4-515301539E01}</c15:txfldGUID>
                      <c15:f>계산!$I$70</c15:f>
                      <c15:dlblFieldTableCache>
                        <c:ptCount val="1"/>
                        <c:pt idx="0">
                          <c:v>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7B4-45D5-A722-D044773C43FD}"/>
                </c:ext>
              </c:extLst>
            </c:dLbl>
            <c:dLbl>
              <c:idx val="5"/>
              <c:tx>
                <c:strRef>
                  <c:f>계산!$J$70</c:f>
                  <c:strCache>
                    <c:ptCount val="1"/>
                    <c:pt idx="0">
                      <c:v>수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{076B8B40-C7FC-44A4-BA21-0D267FC7EF10}</c15:txfldGUID>
                      <c15:f>계산!$J$70</c15:f>
                      <c15:dlblFieldTableCache>
                        <c:ptCount val="1"/>
                        <c:pt idx="0">
                          <c:v>수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7B4-45D5-A722-D044773C43FD}"/>
                </c:ext>
              </c:extLst>
            </c:dLbl>
            <c:dLbl>
              <c:idx val="6"/>
              <c:tx>
                <c:strRef>
                  <c:f>계산!$K$70</c:f>
                  <c:strCache>
                    <c:ptCount val="1"/>
                    <c:pt idx="0">
                      <c:v>목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{C5D2EA94-BC04-44A3-88B7-3413905B4332}</c15:txfldGUID>
                      <c15:f>계산!$K$70</c15:f>
                      <c15:dlblFieldTableCache>
                        <c:ptCount val="1"/>
                        <c:pt idx="0">
                          <c:v>목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7B4-45D5-A722-D044773C43FD}"/>
                </c:ext>
              </c:extLst>
            </c:dLbl>
            <c:dLbl>
              <c:idx val="7"/>
              <c:tx>
                <c:strRef>
                  <c:f>계산!$L$70</c:f>
                  <c:strCache>
                    <c:ptCount val="1"/>
                    <c:pt idx="0">
                      <c:v>금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{FBAA48E7-786A-438E-9963-3FC901102492}</c15:txfldGUID>
                      <c15:f>계산!$L$70</c15:f>
                      <c15:dlblFieldTableCache>
                        <c:ptCount val="1"/>
                        <c:pt idx="0">
                          <c:v>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7B4-45D5-A722-D044773C43FD}"/>
                </c:ext>
              </c:extLst>
            </c:dLbl>
            <c:dLbl>
              <c:idx val="8"/>
              <c:tx>
                <c:strRef>
                  <c:f>계산!$M$70</c:f>
                  <c:strCache>
                    <c:ptCount val="1"/>
                    <c:pt idx="0">
                      <c:v>토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{2526603A-EAD3-4CEB-B5EA-3505D136E808}</c15:txfldGUID>
                      <c15:f>계산!$M$70</c15:f>
                      <c15:dlblFieldTableCache>
                        <c:ptCount val="1"/>
                        <c:pt idx="0">
                          <c:v>토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7B4-45D5-A722-D044773C43FD}"/>
                </c:ext>
              </c:extLst>
            </c:dLbl>
            <c:dLbl>
              <c:idx val="9"/>
              <c:tx>
                <c:strRef>
                  <c:f>계산!$N$70</c:f>
                  <c:strCache>
                    <c:ptCount val="1"/>
                    <c:pt idx="0">
                      <c:v>일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{9D588E45-9A00-412B-B309-4FC9C3524FC3}</c15:txfldGUID>
                      <c15:f>계산!$N$70</c15:f>
                      <c15:dlblFieldTableCache>
                        <c:ptCount val="1"/>
                        <c:pt idx="0">
                          <c:v>일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7B4-45D5-A722-D044773C43FD}"/>
                </c:ext>
              </c:extLst>
            </c:dLbl>
            <c:dLbl>
              <c:idx val="10"/>
              <c:tx>
                <c:strRef>
                  <c:f>계산!$O$70</c:f>
                  <c:strCache>
                    <c:ptCount val="1"/>
                    <c:pt idx="0">
                      <c:v>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{67746320-5EC9-464A-AA77-696BBD4165B4}</c15:txfldGUID>
                      <c15:f>계산!$O$70</c15:f>
                      <c15:dlblFieldTableCache>
                        <c:ptCount val="1"/>
                        <c:pt idx="0">
                          <c:v>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7B4-45D5-A722-D044773C43FD}"/>
                </c:ext>
              </c:extLst>
            </c:dLbl>
            <c:dLbl>
              <c:idx val="11"/>
              <c:tx>
                <c:strRef>
                  <c:f>계산!$P$70</c:f>
                  <c:strCache>
                    <c:ptCount val="1"/>
                    <c:pt idx="0">
                      <c:v>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{B6109C47-DE95-47CE-A557-CB6B800E86B0}</c15:txfldGUID>
                      <c15:f>계산!$P$70</c15:f>
                      <c15:dlblFieldTableCache>
                        <c:ptCount val="1"/>
                        <c:pt idx="0">
                          <c:v>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7B4-45D5-A722-D044773C43FD}"/>
                </c:ext>
              </c:extLst>
            </c:dLbl>
            <c:dLbl>
              <c:idx val="12"/>
              <c:tx>
                <c:strRef>
                  <c:f>계산!$Q$70</c:f>
                  <c:strCache>
                    <c:ptCount val="1"/>
                    <c:pt idx="0">
                      <c:v>수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{45A516F3-FFA8-4421-A13E-7E94227ED0E8}</c15:txfldGUID>
                      <c15:f>계산!$Q$70</c15:f>
                      <c15:dlblFieldTableCache>
                        <c:ptCount val="1"/>
                        <c:pt idx="0">
                          <c:v>수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7B4-45D5-A722-D044773C43FD}"/>
                </c:ext>
              </c:extLst>
            </c:dLbl>
            <c:dLbl>
              <c:idx val="13"/>
              <c:tx>
                <c:strRef>
                  <c:f>계산!$R$70</c:f>
                  <c:strCache>
                    <c:ptCount val="1"/>
                    <c:pt idx="0">
                      <c:v>목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{58D503B6-0C12-4209-A2A6-73E94DA5A282}</c15:txfldGUID>
                      <c15:f>계산!$R$70</c15:f>
                      <c15:dlblFieldTableCache>
                        <c:ptCount val="1"/>
                        <c:pt idx="0">
                          <c:v>목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7B4-45D5-A722-D044773C43FD}"/>
                </c:ext>
              </c:extLst>
            </c:dLbl>
            <c:dLbl>
              <c:idx val="14"/>
              <c:tx>
                <c:strRef>
                  <c:f>계산!$S$70</c:f>
                  <c:strCache>
                    <c:ptCount val="1"/>
                    <c:pt idx="0">
                      <c:v>금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{8C85326B-3C05-44DF-A0A8-B6FCF52EFD86}</c15:txfldGUID>
                      <c15:f>계산!$S$70</c15:f>
                      <c15:dlblFieldTableCache>
                        <c:ptCount val="1"/>
                        <c:pt idx="0">
                          <c:v>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7B4-45D5-A722-D044773C43FD}"/>
                </c:ext>
              </c:extLst>
            </c:dLbl>
            <c:dLbl>
              <c:idx val="15"/>
              <c:tx>
                <c:strRef>
                  <c:f>계산!$T$70</c:f>
                  <c:strCache>
                    <c:ptCount val="1"/>
                    <c:pt idx="0">
                      <c:v>토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{B967C322-DCB6-40AD-8E94-5435848CBE6E}</c15:txfldGUID>
                      <c15:f>계산!$T$70</c15:f>
                      <c15:dlblFieldTableCache>
                        <c:ptCount val="1"/>
                        <c:pt idx="0">
                          <c:v>토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7B4-45D5-A722-D044773C43FD}"/>
                </c:ext>
              </c:extLst>
            </c:dLbl>
            <c:dLbl>
              <c:idx val="16"/>
              <c:tx>
                <c:strRef>
                  <c:f>계산!$U$70</c:f>
                  <c:strCache>
                    <c:ptCount val="1"/>
                    <c:pt idx="0">
                      <c:v>일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{176113A9-4DA7-4604-B38F-1B8D8A54813D}</c15:txfldGUID>
                      <c15:f>계산!$U$70</c15:f>
                      <c15:dlblFieldTableCache>
                        <c:ptCount val="1"/>
                        <c:pt idx="0">
                          <c:v>일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7B4-45D5-A722-D044773C43FD}"/>
                </c:ext>
              </c:extLst>
            </c:dLbl>
            <c:dLbl>
              <c:idx val="17"/>
              <c:tx>
                <c:strRef>
                  <c:f>계산!$V$70</c:f>
                  <c:strCache>
                    <c:ptCount val="1"/>
                    <c:pt idx="0">
                      <c:v>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{5C583CC8-0A0D-43FC-A65C-AB74E60C2C7B}</c15:txfldGUID>
                      <c15:f>계산!$V$70</c15:f>
                      <c15:dlblFieldTableCache>
                        <c:ptCount val="1"/>
                        <c:pt idx="0">
                          <c:v>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7B4-45D5-A722-D044773C43FD}"/>
                </c:ext>
              </c:extLst>
            </c:dLbl>
            <c:dLbl>
              <c:idx val="18"/>
              <c:tx>
                <c:strRef>
                  <c:f>계산!$W$70</c:f>
                  <c:strCache>
                    <c:ptCount val="1"/>
                    <c:pt idx="0">
                      <c:v>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{532BCBB6-99D8-459D-97C6-E503768A98D3}</c15:txfldGUID>
                      <c15:f>계산!$W$70</c15:f>
                      <c15:dlblFieldTableCache>
                        <c:ptCount val="1"/>
                        <c:pt idx="0">
                          <c:v>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7B4-45D5-A722-D044773C43FD}"/>
                </c:ext>
              </c:extLst>
            </c:dLbl>
            <c:dLbl>
              <c:idx val="19"/>
              <c:tx>
                <c:strRef>
                  <c:f>계산!$X$70</c:f>
                  <c:strCache>
                    <c:ptCount val="1"/>
                    <c:pt idx="0">
                      <c:v>수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{D96785AA-D50D-4EFF-899B-3EDE70CA2A6A}</c15:txfldGUID>
                      <c15:f>계산!$X$70</c15:f>
                      <c15:dlblFieldTableCache>
                        <c:ptCount val="1"/>
                        <c:pt idx="0">
                          <c:v>수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7B4-45D5-A722-D044773C43FD}"/>
                </c:ext>
              </c:extLst>
            </c:dLbl>
            <c:dLbl>
              <c:idx val="20"/>
              <c:tx>
                <c:strRef>
                  <c:f>계산!$Y$70</c:f>
                  <c:strCache>
                    <c:ptCount val="1"/>
                    <c:pt idx="0">
                      <c:v>목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{F8DAF875-184B-4EF1-9559-912D07D921C8}</c15:txfldGUID>
                      <c15:f>계산!$Y$70</c15:f>
                      <c15:dlblFieldTableCache>
                        <c:ptCount val="1"/>
                        <c:pt idx="0">
                          <c:v>목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7B4-45D5-A722-D044773C43FD}"/>
                </c:ext>
              </c:extLst>
            </c:dLbl>
            <c:dLbl>
              <c:idx val="21"/>
              <c:tx>
                <c:strRef>
                  <c:f>계산!$Z$70</c:f>
                  <c:strCache>
                    <c:ptCount val="1"/>
                    <c:pt idx="0">
                      <c:v>금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{44C10C9D-9C02-4954-B188-F70B3D75BAC4}</c15:txfldGUID>
                      <c15:f>계산!$Z$70</c15:f>
                      <c15:dlblFieldTableCache>
                        <c:ptCount val="1"/>
                        <c:pt idx="0">
                          <c:v>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7B4-45D5-A722-D044773C43FD}"/>
                </c:ext>
              </c:extLst>
            </c:dLbl>
            <c:dLbl>
              <c:idx val="22"/>
              <c:tx>
                <c:strRef>
                  <c:f>계산!$AA$70</c:f>
                  <c:strCache>
                    <c:ptCount val="1"/>
                    <c:pt idx="0">
                      <c:v>토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{D162F8FD-BA59-4295-8907-E5183D0C8660}</c15:txfldGUID>
                      <c15:f>계산!$AA$70</c15:f>
                      <c15:dlblFieldTableCache>
                        <c:ptCount val="1"/>
                        <c:pt idx="0">
                          <c:v>토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7B4-45D5-A722-D044773C43FD}"/>
                </c:ext>
              </c:extLst>
            </c:dLbl>
            <c:dLbl>
              <c:idx val="23"/>
              <c:tx>
                <c:strRef>
                  <c:f>계산!$AB$70</c:f>
                  <c:strCache>
                    <c:ptCount val="1"/>
                    <c:pt idx="0">
                      <c:v>일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{B6BD070E-B5CF-44D4-A234-1646A4AEA540}</c15:txfldGUID>
                      <c15:f>계산!$AB$70</c15:f>
                      <c15:dlblFieldTableCache>
                        <c:ptCount val="1"/>
                        <c:pt idx="0">
                          <c:v>일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7B4-45D5-A722-D044773C43FD}"/>
                </c:ext>
              </c:extLst>
            </c:dLbl>
            <c:dLbl>
              <c:idx val="24"/>
              <c:tx>
                <c:strRef>
                  <c:f>계산!$AC$70</c:f>
                  <c:strCache>
                    <c:ptCount val="1"/>
                    <c:pt idx="0">
                      <c:v>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{44CC305A-F554-416B-B2D8-2639F2E18942}</c15:txfldGUID>
                      <c15:f>계산!$AC$70</c15:f>
                      <c15:dlblFieldTableCache>
                        <c:ptCount val="1"/>
                        <c:pt idx="0">
                          <c:v>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7B4-45D5-A722-D044773C43FD}"/>
                </c:ext>
              </c:extLst>
            </c:dLbl>
            <c:dLbl>
              <c:idx val="25"/>
              <c:tx>
                <c:strRef>
                  <c:f>계산!$AD$70</c:f>
                  <c:strCache>
                    <c:ptCount val="1"/>
                    <c:pt idx="0">
                      <c:v>화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{6F834ABA-C621-4716-A9A0-C58A2A1EECE5}</c15:txfldGUID>
                      <c15:f>계산!$AD$70</c15:f>
                      <c15:dlblFieldTableCache>
                        <c:ptCount val="1"/>
                        <c:pt idx="0">
                          <c:v>화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7B4-45D5-A722-D044773C43FD}"/>
                </c:ext>
              </c:extLst>
            </c:dLbl>
            <c:dLbl>
              <c:idx val="26"/>
              <c:tx>
                <c:strRef>
                  <c:f>계산!$AE$70</c:f>
                  <c:strCache>
                    <c:ptCount val="1"/>
                    <c:pt idx="0">
                      <c:v>수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{EBEB8F59-9FDF-4C1C-8204-CA395A92A3D8}</c15:txfldGUID>
                      <c15:f>계산!$AE$70</c15:f>
                      <c15:dlblFieldTableCache>
                        <c:ptCount val="1"/>
                        <c:pt idx="0">
                          <c:v>수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7B4-45D5-A722-D044773C43FD}"/>
                </c:ext>
              </c:extLst>
            </c:dLbl>
            <c:dLbl>
              <c:idx val="27"/>
              <c:tx>
                <c:strRef>
                  <c:f>계산!$AF$70</c:f>
                  <c:strCache>
                    <c:ptCount val="1"/>
                    <c:pt idx="0">
                      <c:v>목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{75E54C65-AA63-4D16-ADF8-B76BD65F2804}</c15:txfldGUID>
                      <c15:f>계산!$AF$70</c15:f>
                      <c15:dlblFieldTableCache>
                        <c:ptCount val="1"/>
                        <c:pt idx="0">
                          <c:v>목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7B4-45D5-A722-D044773C43FD}"/>
                </c:ext>
              </c:extLst>
            </c:dLbl>
            <c:dLbl>
              <c:idx val="28"/>
              <c:tx>
                <c:strRef>
                  <c:f>계산!$AG$70</c:f>
                  <c:strCache>
                    <c:ptCount val="1"/>
                    <c:pt idx="0">
                      <c:v>금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{6C08E6C4-8F49-4719-8CFE-A01A2692B6A3}</c15:txfldGUID>
                      <c15:f>계산!$AG$70</c15:f>
                      <c15:dlblFieldTableCache>
                        <c:ptCount val="1"/>
                        <c:pt idx="0">
                          <c:v>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7B4-45D5-A722-D044773C43FD}"/>
                </c:ext>
              </c:extLst>
            </c:dLbl>
            <c:dLbl>
              <c:idx val="29"/>
              <c:tx>
                <c:strRef>
                  <c:f>계산!$AH$70</c:f>
                  <c:strCache>
                    <c:ptCount val="1"/>
                    <c:pt idx="0">
                      <c:v>토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{735AFE33-2B91-4551-B750-C5AFF9EED31A}</c15:txfldGUID>
                      <c15:f>계산!$AH$70</c15:f>
                      <c15:dlblFieldTableCache>
                        <c:ptCount val="1"/>
                        <c:pt idx="0">
                          <c:v>토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7B4-45D5-A722-D044773C4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>
                    <a:latin typeface="맑은 고딕" panose="020B0503020000020004" pitchFamily="50" charset="-127"/>
                    <a:ea typeface="맑은 고딕" panose="020B0503020000020004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계산!$E$69:$AH$69</c:f>
              <c:numCache>
                <c:formatCode>General</c:formatCode>
                <c:ptCount val="30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7B4-45D5-A722-D044773C43FD}"/>
            </c:ext>
          </c:extLst>
        </c:ser>
        <c:ser>
          <c:idx val="25"/>
          <c:order val="25"/>
          <c:tx>
            <c:strRef>
              <c:f>계산!$D$59</c:f>
              <c:strCache>
                <c:ptCount val="1"/>
                <c:pt idx="0">
                  <c:v>2020년 11월 - Top Band</c:v>
                </c:pt>
              </c:strCache>
            </c:strRef>
          </c:tx>
          <c:spPr>
            <a:ln w="228600" cap="sq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계산!$E$59:$AH$59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7B4-45D5-A722-D044773C43FD}"/>
            </c:ext>
          </c:extLst>
        </c:ser>
        <c:ser>
          <c:idx val="26"/>
          <c:order val="26"/>
          <c:tx>
            <c:strRef>
              <c:f>계산!$D$62</c:f>
              <c:strCache>
                <c:ptCount val="1"/>
                <c:pt idx="0">
                  <c:v>2020년 12월 - Top Band</c:v>
                </c:pt>
              </c:strCache>
            </c:strRef>
          </c:tx>
          <c:spPr>
            <a:ln w="228600" cap="sq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계산!$E$62:$AH$62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7B4-45D5-A722-D044773C4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3858864"/>
        <c:axId val="-53859408"/>
      </c:lineChart>
      <c:dateAx>
        <c:axId val="-53858864"/>
        <c:scaling>
          <c:orientation val="minMax"/>
        </c:scaling>
        <c:delete val="1"/>
        <c:axPos val="b"/>
        <c:majorGridlines>
          <c:spPr>
            <a:ln w="3175">
              <a:solidFill>
                <a:schemeClr val="tx2">
                  <a:lumMod val="20000"/>
                  <a:lumOff val="80000"/>
                  <a:alpha val="85000"/>
                </a:schemeClr>
              </a:solidFill>
            </a:ln>
          </c:spPr>
        </c:majorGridlines>
        <c:numFmt formatCode="d" sourceLinked="0"/>
        <c:majorTickMark val="out"/>
        <c:minorTickMark val="none"/>
        <c:tickLblPos val="nextTo"/>
        <c:crossAx val="-53859408"/>
        <c:crosses val="autoZero"/>
        <c:auto val="1"/>
        <c:lblOffset val="100"/>
        <c:baseTimeUnit val="days"/>
      </c:dateAx>
      <c:valAx>
        <c:axId val="-53859408"/>
        <c:scaling>
          <c:orientation val="minMax"/>
          <c:max val="13.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-53858864"/>
        <c:crosses val="autoZero"/>
        <c:crossBetween val="between"/>
        <c:majorUnit val="1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/>
      </a:pPr>
      <a:endParaRPr lang="ko-KR"/>
    </a:p>
  </c:txPr>
  <c:printSettings>
    <c:headerFooter/>
    <c:pageMargins b="0.75" l="0.7" r="0.7" t="1" header="0.3" footer="0.3"/>
    <c:pageSetup orientation="landscape"/>
  </c:printSettings>
</c:chartSpace>
</file>

<file path=xl/ctrlProps/ctrlProp1.xml><?xml version="1.0" encoding="utf-8"?>
<formControlPr xmlns="http://schemas.microsoft.com/office/spreadsheetml/2009/9/main" objectType="Scroll" dx="16" fmlaLink="WindowOffset" horiz="1" max="100" noThreeD="1" page="7" val="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1</xdr:row>
      <xdr:rowOff>190500</xdr:rowOff>
    </xdr:from>
    <xdr:to>
      <xdr:col>6</xdr:col>
      <xdr:colOff>12954</xdr:colOff>
      <xdr:row>16</xdr:row>
      <xdr:rowOff>161925</xdr:rowOff>
    </xdr:to>
    <xdr:graphicFrame macro="">
      <xdr:nvGraphicFramePr>
        <xdr:cNvPr id="7" name="시간 표시 막대 차트" descr="Scrollable timeline of the project activities." title="Timeline 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18</xdr:row>
          <xdr:rowOff>209550</xdr:rowOff>
        </xdr:from>
        <xdr:to>
          <xdr:col>6</xdr:col>
          <xdr:colOff>0</xdr:colOff>
          <xdr:row>20</xdr:row>
          <xdr:rowOff>0</xdr:rowOff>
        </xdr:to>
        <xdr:sp macro="" textlink="">
          <xdr:nvSpPr>
            <xdr:cNvPr id="1025" name="스크롤 막대" descr="Click the scroll bar to modify the project time frame shown on the Timeline Chart or enter the start date for the display of project activities in cell D20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" displayName="Activities" ref="B22:F34" totalsRowShown="0" headerRowDxfId="6" dataDxfId="5">
  <autoFilter ref="B22:F34" xr:uid="{00000000-0009-0000-0100-000001000000}"/>
  <sortState xmlns:xlrd2="http://schemas.microsoft.com/office/spreadsheetml/2017/richdata2" ref="C20:F25">
    <sortCondition ref="D19:D25"/>
  </sortState>
  <tableColumns count="5">
    <tableColumn id="5" xr3:uid="{00000000-0010-0000-0000-000005000000}" name="Id" dataDxfId="4">
      <calculatedColumnFormula>N(B22)+1</calculatedColumnFormula>
    </tableColumn>
    <tableColumn id="1" xr3:uid="{00000000-0010-0000-0000-000001000000}" name="활동" dataDxfId="3"/>
    <tableColumn id="2" xr3:uid="{00000000-0010-0000-0000-000002000000}" name="시작" dataDxfId="2">
      <calculatedColumnFormula>D22+10</calculatedColumnFormula>
    </tableColumn>
    <tableColumn id="3" xr3:uid="{00000000-0010-0000-0000-000003000000}" name="종료" dataDxfId="1">
      <calculatedColumnFormula>Activities[[#This Row],[시작]]+2</calculatedColumnFormula>
    </tableColumn>
    <tableColumn id="4" xr3:uid="{00000000-0010-0000-0000-000004000000}" name="참고" dataDxfId="0"/>
  </tableColumns>
  <tableStyleInfo name="Project Timeline" showFirstColumn="0" showLastColumn="0" showRowStripes="1" showColumnStripes="0"/>
  <extLst>
    <ext xmlns:x14="http://schemas.microsoft.com/office/spreadsheetml/2009/9/main" uri="{504A1905-F514-4f6f-8877-14C23A59335A}">
      <x14:table altText="활동 표" altTextSummary="이 표를 사용하여 학사 활동을 입력하고 관리합니다.활동, 시작, 종료, 참고 열이 제공됩니다.이 표에 입력한 모든 활동은 시간 표시 막대 차트로 렌더링됩니다."/>
    </ext>
  </extLst>
</table>
</file>

<file path=xl/theme/theme1.xml><?xml version="1.0" encoding="utf-8"?>
<a:theme xmlns:a="http://schemas.openxmlformats.org/drawingml/2006/main" name="Office Theme">
  <a:themeElements>
    <a:clrScheme name="Project Timeline">
      <a:dk1>
        <a:sysClr val="windowText" lastClr="000000"/>
      </a:dk1>
      <a:lt1>
        <a:sysClr val="window" lastClr="FFFFFF"/>
      </a:lt1>
      <a:dk2>
        <a:srgbClr val="37464D"/>
      </a:dk2>
      <a:lt2>
        <a:srgbClr val="F0ECEB"/>
      </a:lt2>
      <a:accent1>
        <a:srgbClr val="FE713B"/>
      </a:accent1>
      <a:accent2>
        <a:srgbClr val="0CA8C7"/>
      </a:accent2>
      <a:accent3>
        <a:srgbClr val="9BD174"/>
      </a:accent3>
      <a:accent4>
        <a:srgbClr val="8F6BA2"/>
      </a:accent4>
      <a:accent5>
        <a:srgbClr val="FFED56"/>
      </a:accent5>
      <a:accent6>
        <a:srgbClr val="E95877"/>
      </a:accent6>
      <a:hlink>
        <a:srgbClr val="47C2D9"/>
      </a:hlink>
      <a:folHlink>
        <a:srgbClr val="8F6BA2"/>
      </a:folHlink>
    </a:clrScheme>
    <a:fontScheme name="Project Timelin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/>
  </sheetPr>
  <dimension ref="A1:G34"/>
  <sheetViews>
    <sheetView showGridLines="0" tabSelected="1" topLeftCell="A10" zoomScale="130" zoomScaleNormal="130" workbookViewId="0">
      <selection activeCell="C24" sqref="C24"/>
    </sheetView>
  </sheetViews>
  <sheetFormatPr defaultRowHeight="17.25" customHeight="1" x14ac:dyDescent="0.2"/>
  <cols>
    <col min="1" max="1" width="5.5703125" style="6" customWidth="1"/>
    <col min="2" max="2" width="0" style="6" hidden="1" customWidth="1"/>
    <col min="3" max="3" width="31" style="6" customWidth="1"/>
    <col min="4" max="5" width="18.42578125" style="6" customWidth="1"/>
    <col min="6" max="6" width="56.85546875" style="6" customWidth="1"/>
    <col min="7" max="7" width="5.5703125" style="6" customWidth="1"/>
    <col min="8" max="16384" width="9.140625" style="6"/>
  </cols>
  <sheetData>
    <row r="1" spans="1:7" s="5" customFormat="1" ht="47.25" customHeight="1" thickBot="1" x14ac:dyDescent="0.25">
      <c r="A1" s="1"/>
      <c r="B1" s="2"/>
      <c r="C1" s="3" t="s">
        <v>26</v>
      </c>
      <c r="D1" s="1"/>
      <c r="E1" s="1"/>
      <c r="F1" s="1"/>
      <c r="G1" s="4"/>
    </row>
    <row r="2" spans="1:7" ht="17.25" customHeight="1" thickTop="1" x14ac:dyDescent="0.2">
      <c r="C2" s="7"/>
    </row>
    <row r="18" spans="2:6" ht="17.25" customHeight="1" thickBot="1" x14ac:dyDescent="0.25">
      <c r="C18" s="8"/>
      <c r="D18" s="8"/>
      <c r="E18" s="8"/>
      <c r="F18" s="8"/>
    </row>
    <row r="19" spans="2:6" ht="17.25" customHeight="1" thickTop="1" x14ac:dyDescent="0.2">
      <c r="C19" s="9"/>
      <c r="D19" s="9"/>
      <c r="E19" s="9"/>
      <c r="F19" s="9"/>
    </row>
    <row r="20" spans="2:6" ht="17.25" customHeight="1" x14ac:dyDescent="0.35">
      <c r="C20" s="10" t="s">
        <v>2</v>
      </c>
      <c r="D20" s="11">
        <f ca="1">TODAY()-3</f>
        <v>44137</v>
      </c>
      <c r="E20" s="9"/>
      <c r="F20" s="9"/>
    </row>
    <row r="21" spans="2:6" ht="17.25" customHeight="1" x14ac:dyDescent="0.2">
      <c r="C21" s="9"/>
      <c r="D21" s="9"/>
      <c r="E21" s="9"/>
      <c r="F21" s="9"/>
    </row>
    <row r="22" spans="2:6" ht="17.25" customHeight="1" x14ac:dyDescent="0.2">
      <c r="B22" s="12" t="s">
        <v>0</v>
      </c>
      <c r="C22" s="13" t="s">
        <v>3</v>
      </c>
      <c r="D22" s="13" t="s">
        <v>4</v>
      </c>
      <c r="E22" s="13" t="s">
        <v>5</v>
      </c>
      <c r="F22" s="13" t="s">
        <v>6</v>
      </c>
    </row>
    <row r="23" spans="2:6" ht="17.25" customHeight="1" x14ac:dyDescent="0.2">
      <c r="B23" s="12">
        <f t="shared" ref="B23:B28" si="0">N(B22)+1</f>
        <v>1</v>
      </c>
      <c r="C23" s="14" t="s">
        <v>28</v>
      </c>
      <c r="D23" s="15">
        <f ca="1">D20+5</f>
        <v>44142</v>
      </c>
      <c r="E23" s="15"/>
      <c r="F23" s="14"/>
    </row>
    <row r="24" spans="2:6" ht="17.25" customHeight="1" x14ac:dyDescent="0.2">
      <c r="B24" s="12">
        <f t="shared" si="0"/>
        <v>2</v>
      </c>
      <c r="C24" s="14" t="s">
        <v>27</v>
      </c>
      <c r="D24" s="15">
        <f ca="1">D23+5</f>
        <v>44147</v>
      </c>
      <c r="E24" s="15">
        <f ca="1">Activities[[#This Row],[시작]]+0</f>
        <v>44147</v>
      </c>
      <c r="F24" s="14"/>
    </row>
    <row r="25" spans="2:6" ht="17.25" customHeight="1" x14ac:dyDescent="0.2">
      <c r="B25" s="12">
        <f t="shared" si="0"/>
        <v>3</v>
      </c>
      <c r="C25" s="14" t="s">
        <v>24</v>
      </c>
      <c r="D25" s="15">
        <f ca="1">D24+1</f>
        <v>44148</v>
      </c>
      <c r="E25" s="15">
        <f ca="1">Activities[[#This Row],[시작]]+28</f>
        <v>44176</v>
      </c>
      <c r="F25" s="14"/>
    </row>
    <row r="26" spans="2:6" ht="17.25" customHeight="1" x14ac:dyDescent="0.2">
      <c r="B26" s="12">
        <f t="shared" si="0"/>
        <v>4</v>
      </c>
      <c r="C26" s="14" t="s">
        <v>22</v>
      </c>
      <c r="D26" s="15">
        <f ca="1">E25+5</f>
        <v>44181</v>
      </c>
      <c r="E26" s="15"/>
      <c r="F26" s="14"/>
    </row>
    <row r="27" spans="2:6" ht="17.25" customHeight="1" x14ac:dyDescent="0.2">
      <c r="B27" s="12">
        <f t="shared" si="0"/>
        <v>5</v>
      </c>
      <c r="C27" s="14" t="s">
        <v>23</v>
      </c>
      <c r="D27" s="15">
        <f t="shared" ref="D27:D34" ca="1" si="1">D26+10</f>
        <v>44191</v>
      </c>
      <c r="E27" s="15">
        <f ca="1">Activities[[#This Row],[시작]]+2</f>
        <v>44193</v>
      </c>
      <c r="F27" s="14"/>
    </row>
    <row r="28" spans="2:6" ht="17.25" customHeight="1" x14ac:dyDescent="0.2">
      <c r="B28" s="12">
        <f t="shared" si="0"/>
        <v>6</v>
      </c>
      <c r="C28" s="14" t="s">
        <v>25</v>
      </c>
      <c r="D28" s="15">
        <f t="shared" ca="1" si="1"/>
        <v>44201</v>
      </c>
      <c r="E28" s="15">
        <f ca="1">Activities[[#This Row],[시작]]+2</f>
        <v>44203</v>
      </c>
      <c r="F28" s="14"/>
    </row>
    <row r="29" spans="2:6" ht="17.25" customHeight="1" x14ac:dyDescent="0.2">
      <c r="B29" s="16">
        <f t="shared" ref="B29:B34" si="2">N(B28)+1</f>
        <v>7</v>
      </c>
      <c r="C29" s="14" t="s">
        <v>7</v>
      </c>
      <c r="D29" s="15">
        <f t="shared" ca="1" si="1"/>
        <v>44211</v>
      </c>
      <c r="E29" s="15">
        <f ca="1">Activities[[#This Row],[시작]]+2</f>
        <v>44213</v>
      </c>
      <c r="F29" s="14"/>
    </row>
    <row r="30" spans="2:6" ht="17.25" customHeight="1" x14ac:dyDescent="0.2">
      <c r="B30" s="16">
        <f t="shared" si="2"/>
        <v>8</v>
      </c>
      <c r="C30" s="14" t="s">
        <v>8</v>
      </c>
      <c r="D30" s="15">
        <f t="shared" ca="1" si="1"/>
        <v>44221</v>
      </c>
      <c r="E30" s="15"/>
      <c r="F30" s="14"/>
    </row>
    <row r="31" spans="2:6" ht="17.25" customHeight="1" x14ac:dyDescent="0.2">
      <c r="B31" s="16">
        <f t="shared" si="2"/>
        <v>9</v>
      </c>
      <c r="C31" s="14" t="s">
        <v>9</v>
      </c>
      <c r="D31" s="15">
        <f t="shared" ca="1" si="1"/>
        <v>44231</v>
      </c>
      <c r="E31" s="15">
        <f ca="1">Activities[[#This Row],[시작]]+2</f>
        <v>44233</v>
      </c>
      <c r="F31" s="14"/>
    </row>
    <row r="32" spans="2:6" ht="17.25" customHeight="1" x14ac:dyDescent="0.2">
      <c r="B32" s="16">
        <f t="shared" si="2"/>
        <v>10</v>
      </c>
      <c r="C32" s="14" t="s">
        <v>10</v>
      </c>
      <c r="D32" s="15">
        <f t="shared" ca="1" si="1"/>
        <v>44241</v>
      </c>
      <c r="E32" s="15">
        <f ca="1">Activities[[#This Row],[시작]]+2</f>
        <v>44243</v>
      </c>
      <c r="F32" s="14"/>
    </row>
    <row r="33" spans="2:6" ht="17.25" customHeight="1" x14ac:dyDescent="0.2">
      <c r="B33" s="16">
        <f t="shared" si="2"/>
        <v>11</v>
      </c>
      <c r="C33" s="14" t="s">
        <v>11</v>
      </c>
      <c r="D33" s="15">
        <f t="shared" ca="1" si="1"/>
        <v>44251</v>
      </c>
      <c r="E33" s="15">
        <f ca="1">Activities[[#This Row],[시작]]+2</f>
        <v>44253</v>
      </c>
      <c r="F33" s="14"/>
    </row>
    <row r="34" spans="2:6" ht="17.25" customHeight="1" x14ac:dyDescent="0.2">
      <c r="B34" s="16">
        <f t="shared" si="2"/>
        <v>12</v>
      </c>
      <c r="C34" s="14" t="s">
        <v>12</v>
      </c>
      <c r="D34" s="15">
        <f t="shared" ca="1" si="1"/>
        <v>44261</v>
      </c>
      <c r="E34" s="15"/>
      <c r="F34" s="14"/>
    </row>
  </sheetData>
  <sheetProtection selectLockedCells="1"/>
  <phoneticPr fontId="7" type="noConversion"/>
  <printOptions horizontalCentered="1"/>
  <pageMargins left="0.25" right="0.25" top="0.5" bottom="0.5" header="0.3" footer="0.3"/>
  <pageSetup fitToHeight="0" orientation="landscape" r:id="rId1"/>
  <rowBreaks count="2" manualBreakCount="2">
    <brk id="18" max="16383" man="1"/>
    <brk id="20" max="16383" man="1"/>
  </rowBreaks>
  <ignoredErrors>
    <ignoredError sqref="D27:D34" unlockedFormula="1"/>
    <ignoredError sqref="D25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스크롤 막대">
              <controlPr defaultSize="0" autoPict="0" altText="Click the scroll bar to modify the project time frame shown on the Timeline Chart or enter the start date for the display of project activities in cell D20.">
                <anchor moveWithCells="1">
                  <from>
                    <xdr:col>4</xdr:col>
                    <xdr:colOff>47625</xdr:colOff>
                    <xdr:row>18</xdr:row>
                    <xdr:rowOff>209550</xdr:rowOff>
                  </from>
                  <to>
                    <xdr:col>6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72"/>
  <sheetViews>
    <sheetView topLeftCell="A37" workbookViewId="0">
      <selection activeCell="E72" sqref="E72"/>
    </sheetView>
  </sheetViews>
  <sheetFormatPr defaultRowHeight="13.5" x14ac:dyDescent="0.2"/>
  <cols>
    <col min="1" max="2" width="9.140625" style="17"/>
    <col min="3" max="3" width="17.42578125" style="17" customWidth="1"/>
    <col min="4" max="4" width="18" style="17" customWidth="1"/>
    <col min="5" max="34" width="10.85546875" style="17" customWidth="1"/>
    <col min="35" max="35" width="17.5703125" style="17" customWidth="1"/>
    <col min="36" max="16384" width="9.140625" style="17"/>
  </cols>
  <sheetData>
    <row r="1" spans="1:6" x14ac:dyDescent="0.2">
      <c r="A1" s="17" t="s">
        <v>19</v>
      </c>
    </row>
    <row r="3" spans="1:6" x14ac:dyDescent="0.2">
      <c r="C3" s="17" t="s">
        <v>20</v>
      </c>
      <c r="D3" s="18">
        <f ca="1">TODAY()</f>
        <v>44140</v>
      </c>
      <c r="E3" s="18"/>
    </row>
    <row r="4" spans="1:6" x14ac:dyDescent="0.2">
      <c r="D4" s="17">
        <v>5</v>
      </c>
    </row>
    <row r="6" spans="1:6" x14ac:dyDescent="0.2">
      <c r="E6" s="17" t="e">
        <f>NA()</f>
        <v>#N/A</v>
      </c>
    </row>
    <row r="7" spans="1:6" x14ac:dyDescent="0.2">
      <c r="E7" s="17" t="e">
        <f>NA()</f>
        <v>#N/A</v>
      </c>
    </row>
    <row r="8" spans="1:6" x14ac:dyDescent="0.2">
      <c r="E8" s="17" t="e">
        <f>NA()</f>
        <v>#N/A</v>
      </c>
    </row>
    <row r="9" spans="1:6" x14ac:dyDescent="0.2">
      <c r="C9" s="19" t="s">
        <v>21</v>
      </c>
      <c r="D9" s="17">
        <f ca="1">SUMPRODUCT( ((Activities[시작]&gt;=StartDateWindow)+(Activities[종료]&gt;=StartDateWindow)&gt;0)*(Activities[시작]&lt;=(StartDateWindow+WindowDays-1)) )</f>
        <v>3</v>
      </c>
      <c r="E9" s="17" t="e">
        <f>NA()</f>
        <v>#N/A</v>
      </c>
    </row>
    <row r="10" spans="1:6" x14ac:dyDescent="0.2">
      <c r="D10" s="17">
        <v>9</v>
      </c>
      <c r="E10" s="17" t="e">
        <f>NA()</f>
        <v>#N/A</v>
      </c>
    </row>
    <row r="11" spans="1:6" x14ac:dyDescent="0.2">
      <c r="D11" s="17">
        <f ca="1">D10-MIN(D10,D9)</f>
        <v>6</v>
      </c>
      <c r="E11" s="17" t="e">
        <f>NA()</f>
        <v>#N/A</v>
      </c>
    </row>
    <row r="12" spans="1:6" x14ac:dyDescent="0.2">
      <c r="E12" s="17" t="e">
        <f>NA()</f>
        <v>#N/A</v>
      </c>
    </row>
    <row r="13" spans="1:6" x14ac:dyDescent="0.2">
      <c r="C13" s="19"/>
      <c r="E13" s="17" t="e">
        <f>NA()</f>
        <v>#N/A</v>
      </c>
    </row>
    <row r="14" spans="1:6" x14ac:dyDescent="0.2">
      <c r="C14" s="19"/>
      <c r="E14" s="17" t="e">
        <f>NA()</f>
        <v>#N/A</v>
      </c>
    </row>
    <row r="15" spans="1:6" x14ac:dyDescent="0.2">
      <c r="C15" s="19"/>
      <c r="E15" s="17">
        <f t="array" aca="1" ref="E15" ca="1">INDEX(Activities[Id],MATCH(1, ((Activities[시작]&gt;=StartDateWindow)+(Activities[종료]&gt;=StartDateWindow)&gt;0)*(Activities[시작]&lt;=(StartDateWindow+WindowDays-1)), 0))</f>
        <v>1</v>
      </c>
      <c r="F15" s="17" t="e">
        <f t="shared" ref="F15:F23" ca="1" si="0">OFFSET(E15,-$D$11,)</f>
        <v>#N/A</v>
      </c>
    </row>
    <row r="16" spans="1:6" x14ac:dyDescent="0.2">
      <c r="C16" s="19"/>
      <c r="E16" s="17">
        <f t="array" aca="1" ref="E16" ca="1">INDEX(Activities[Id],MATCH(1, (Activities[Id]&gt;E15)*((Activities[시작]&gt;=StartDateWindow)+(Activities[종료]&gt;=StartDateWindow)&gt;0)*(Activities[시작]&lt;=(StartDateWindow+WindowDays-1)), 0))</f>
        <v>2</v>
      </c>
      <c r="F16" s="17" t="e">
        <f t="shared" ca="1" si="0"/>
        <v>#N/A</v>
      </c>
    </row>
    <row r="17" spans="1:35" x14ac:dyDescent="0.2">
      <c r="C17" s="19"/>
      <c r="E17" s="17">
        <f t="array" aca="1" ref="E17" ca="1">INDEX(Activities[Id],MATCH(1, (Activities[Id]&gt;E16)*((Activities[시작]&gt;=StartDateWindow)+(Activities[종료]&gt;=StartDateWindow)&gt;0)*(Activities[시작]&lt;=(StartDateWindow+WindowDays-1)), 0))</f>
        <v>3</v>
      </c>
      <c r="F17" s="17" t="e">
        <f t="shared" ca="1" si="0"/>
        <v>#N/A</v>
      </c>
    </row>
    <row r="18" spans="1:35" x14ac:dyDescent="0.2">
      <c r="E18" s="17" t="e">
        <f t="array" aca="1" ref="E18" ca="1">INDEX(Activities[Id],MATCH(1, (Activities[Id]&gt;E17)*((Activities[시작]&gt;=StartDateWindow)+(Activities[종료]&gt;=StartDateWindow)&gt;0)*(Activities[시작]&lt;=(StartDateWindow+WindowDays-1)), 0))</f>
        <v>#N/A</v>
      </c>
      <c r="F18" s="17" t="e">
        <f t="shared" ca="1" si="0"/>
        <v>#N/A</v>
      </c>
    </row>
    <row r="19" spans="1:35" x14ac:dyDescent="0.2">
      <c r="E19" s="17" t="e">
        <f t="array" aca="1" ref="E19" ca="1">INDEX(Activities[Id],MATCH(1, (Activities[Id]&gt;E18)*((Activities[시작]&gt;=StartDateWindow)+(Activities[종료]&gt;=StartDateWindow)&gt;0)*(Activities[시작]&lt;=(StartDateWindow+WindowDays-1)), 0))</f>
        <v>#N/A</v>
      </c>
      <c r="F19" s="17" t="e">
        <f t="shared" ca="1" si="0"/>
        <v>#N/A</v>
      </c>
    </row>
    <row r="20" spans="1:35" x14ac:dyDescent="0.2">
      <c r="E20" s="17" t="e">
        <f t="array" aca="1" ref="E20" ca="1">INDEX(Activities[Id],MATCH(1, (Activities[Id]&gt;E19)*((Activities[시작]&gt;=StartDateWindow)+(Activities[종료]&gt;=StartDateWindow)&gt;0)*(Activities[시작]&lt;=(StartDateWindow+WindowDays-1)), 0))</f>
        <v>#N/A</v>
      </c>
      <c r="F20" s="17" t="e">
        <f t="shared" ca="1" si="0"/>
        <v>#N/A</v>
      </c>
    </row>
    <row r="21" spans="1:35" x14ac:dyDescent="0.2">
      <c r="E21" s="17" t="e">
        <f t="array" aca="1" ref="E21" ca="1">INDEX(Activities[Id],MATCH(1, (Activities[Id]&gt;E20)*((Activities[시작]&gt;=StartDateWindow)+(Activities[종료]&gt;=StartDateWindow)&gt;0)*(Activities[시작]&lt;=(StartDateWindow+WindowDays-1)), 0))</f>
        <v>#N/A</v>
      </c>
      <c r="F21" s="17">
        <f t="shared" ca="1" si="0"/>
        <v>1</v>
      </c>
    </row>
    <row r="22" spans="1:35" x14ac:dyDescent="0.2">
      <c r="E22" s="17" t="e">
        <f t="array" aca="1" ref="E22" ca="1">INDEX(Activities[Id],MATCH(1, (Activities[Id]&gt;E21)*((Activities[시작]&gt;=StartDateWindow)+(Activities[종료]&gt;=StartDateWindow)&gt;0)*(Activities[시작]&lt;=(StartDateWindow+WindowDays-1)), 0))</f>
        <v>#N/A</v>
      </c>
      <c r="F22" s="17">
        <f t="shared" ca="1" si="0"/>
        <v>2</v>
      </c>
    </row>
    <row r="23" spans="1:35" x14ac:dyDescent="0.2">
      <c r="E23" s="17" t="e">
        <f t="array" aca="1" ref="E23" ca="1">INDEX(Activities[Id],MATCH(1, (Activities[Id]&gt;E22)*((Activities[시작]&gt;=StartDateWindow)+(Activities[종료]&gt;=StartDateWindow)&gt;0)*(Activities[시작]&lt;=(StartDateWindow+WindowDays-1)), 0))</f>
        <v>#N/A</v>
      </c>
      <c r="F23" s="17">
        <f t="shared" ca="1" si="0"/>
        <v>3</v>
      </c>
    </row>
    <row r="25" spans="1:35" x14ac:dyDescent="0.2">
      <c r="C25" s="17" t="s">
        <v>16</v>
      </c>
      <c r="D25" s="18">
        <f ca="1">StartDate+WindowOffset</f>
        <v>44141</v>
      </c>
    </row>
    <row r="26" spans="1:35" x14ac:dyDescent="0.2">
      <c r="C26" s="17" t="s">
        <v>17</v>
      </c>
      <c r="D26" s="17">
        <v>4</v>
      </c>
    </row>
    <row r="28" spans="1:35" x14ac:dyDescent="0.2">
      <c r="C28" s="17" t="s">
        <v>4</v>
      </c>
      <c r="D28" s="19">
        <f ca="1">'프로젝트 시간 표시 막대'!D20</f>
        <v>44137</v>
      </c>
    </row>
    <row r="29" spans="1:35" x14ac:dyDescent="0.2">
      <c r="C29" s="17" t="s">
        <v>18</v>
      </c>
      <c r="D29" s="17">
        <v>30</v>
      </c>
    </row>
    <row r="31" spans="1:35" x14ac:dyDescent="0.2">
      <c r="A31" s="17" t="s">
        <v>13</v>
      </c>
      <c r="B31" s="17" t="s">
        <v>14</v>
      </c>
      <c r="C31" s="17" t="s">
        <v>15</v>
      </c>
      <c r="D31" s="17" t="s">
        <v>3</v>
      </c>
      <c r="E31" s="18">
        <f ca="1">StartDateWindow</f>
        <v>44141</v>
      </c>
      <c r="F31" s="18">
        <f t="shared" ref="F31:AI31" ca="1" si="1">E31+1</f>
        <v>44142</v>
      </c>
      <c r="G31" s="18">
        <f t="shared" ca="1" si="1"/>
        <v>44143</v>
      </c>
      <c r="H31" s="18">
        <f t="shared" ca="1" si="1"/>
        <v>44144</v>
      </c>
      <c r="I31" s="18">
        <f t="shared" ca="1" si="1"/>
        <v>44145</v>
      </c>
      <c r="J31" s="18">
        <f t="shared" ca="1" si="1"/>
        <v>44146</v>
      </c>
      <c r="K31" s="18">
        <f t="shared" ca="1" si="1"/>
        <v>44147</v>
      </c>
      <c r="L31" s="18">
        <f t="shared" ca="1" si="1"/>
        <v>44148</v>
      </c>
      <c r="M31" s="18">
        <f t="shared" ca="1" si="1"/>
        <v>44149</v>
      </c>
      <c r="N31" s="18">
        <f t="shared" ca="1" si="1"/>
        <v>44150</v>
      </c>
      <c r="O31" s="18">
        <f t="shared" ca="1" si="1"/>
        <v>44151</v>
      </c>
      <c r="P31" s="18">
        <f t="shared" ca="1" si="1"/>
        <v>44152</v>
      </c>
      <c r="Q31" s="18">
        <f t="shared" ca="1" si="1"/>
        <v>44153</v>
      </c>
      <c r="R31" s="18">
        <f t="shared" ca="1" si="1"/>
        <v>44154</v>
      </c>
      <c r="S31" s="18">
        <f t="shared" ca="1" si="1"/>
        <v>44155</v>
      </c>
      <c r="T31" s="18">
        <f t="shared" ca="1" si="1"/>
        <v>44156</v>
      </c>
      <c r="U31" s="18">
        <f t="shared" ca="1" si="1"/>
        <v>44157</v>
      </c>
      <c r="V31" s="18">
        <f t="shared" ca="1" si="1"/>
        <v>44158</v>
      </c>
      <c r="W31" s="18">
        <f t="shared" ca="1" si="1"/>
        <v>44159</v>
      </c>
      <c r="X31" s="18">
        <f t="shared" ca="1" si="1"/>
        <v>44160</v>
      </c>
      <c r="Y31" s="18">
        <f t="shared" ca="1" si="1"/>
        <v>44161</v>
      </c>
      <c r="Z31" s="18">
        <f t="shared" ca="1" si="1"/>
        <v>44162</v>
      </c>
      <c r="AA31" s="18">
        <f t="shared" ca="1" si="1"/>
        <v>44163</v>
      </c>
      <c r="AB31" s="18">
        <f t="shared" ca="1" si="1"/>
        <v>44164</v>
      </c>
      <c r="AC31" s="18">
        <f t="shared" ca="1" si="1"/>
        <v>44165</v>
      </c>
      <c r="AD31" s="18">
        <f t="shared" ca="1" si="1"/>
        <v>44166</v>
      </c>
      <c r="AE31" s="18">
        <f t="shared" ca="1" si="1"/>
        <v>44167</v>
      </c>
      <c r="AF31" s="18">
        <f t="shared" ca="1" si="1"/>
        <v>44168</v>
      </c>
      <c r="AG31" s="18">
        <f t="shared" ca="1" si="1"/>
        <v>44169</v>
      </c>
      <c r="AH31" s="18">
        <f t="shared" ca="1" si="1"/>
        <v>44170</v>
      </c>
      <c r="AI31" s="18">
        <f t="shared" ca="1" si="1"/>
        <v>44171</v>
      </c>
    </row>
    <row r="32" spans="1:35" x14ac:dyDescent="0.2">
      <c r="A32" s="17">
        <v>11.3</v>
      </c>
      <c r="B32" s="17">
        <v>1</v>
      </c>
      <c r="C32" s="17" t="e">
        <f t="shared" ref="C32:C40" ca="1" si="2">F15</f>
        <v>#N/A</v>
      </c>
      <c r="D32" s="17" t="e">
        <f ca="1">INDEX(Activities[활동],MATCH($C32,Activities[Id],0))</f>
        <v>#N/A</v>
      </c>
      <c r="E32" s="17" t="e">
        <f ca="1">GridCalc</f>
        <v>#N/A</v>
      </c>
      <c r="F32" s="17" t="e">
        <f ca="1">GridCalc</f>
        <v>#N/A</v>
      </c>
      <c r="G32" s="17" t="e">
        <f ca="1">GridCalc</f>
        <v>#N/A</v>
      </c>
      <c r="H32" s="17" t="e">
        <f ca="1">GridCalc</f>
        <v>#N/A</v>
      </c>
      <c r="I32" s="17" t="e">
        <f ca="1">GridCalc</f>
        <v>#N/A</v>
      </c>
      <c r="J32" s="17" t="e">
        <f ca="1">GridCalc</f>
        <v>#N/A</v>
      </c>
      <c r="K32" s="17" t="e">
        <f ca="1">GridCalc</f>
        <v>#N/A</v>
      </c>
      <c r="L32" s="17" t="e">
        <f ca="1">GridCalc</f>
        <v>#N/A</v>
      </c>
      <c r="M32" s="17" t="e">
        <f ca="1">GridCalc</f>
        <v>#N/A</v>
      </c>
      <c r="N32" s="17" t="e">
        <f ca="1">GridCalc</f>
        <v>#N/A</v>
      </c>
      <c r="O32" s="17" t="e">
        <f ca="1">GridCalc</f>
        <v>#N/A</v>
      </c>
      <c r="P32" s="17" t="e">
        <f ca="1">GridCalc</f>
        <v>#N/A</v>
      </c>
      <c r="Q32" s="17" t="e">
        <f ca="1">GridCalc</f>
        <v>#N/A</v>
      </c>
      <c r="R32" s="17" t="e">
        <f ca="1">GridCalc</f>
        <v>#N/A</v>
      </c>
      <c r="S32" s="17" t="e">
        <f ca="1">GridCalc</f>
        <v>#N/A</v>
      </c>
      <c r="T32" s="17" t="e">
        <f ca="1">GridCalc</f>
        <v>#N/A</v>
      </c>
      <c r="U32" s="17" t="e">
        <f ca="1">GridCalc</f>
        <v>#N/A</v>
      </c>
      <c r="V32" s="17" t="e">
        <f ca="1">GridCalc</f>
        <v>#N/A</v>
      </c>
      <c r="W32" s="17" t="e">
        <f ca="1">GridCalc</f>
        <v>#N/A</v>
      </c>
      <c r="X32" s="17" t="e">
        <f ca="1">GridCalc</f>
        <v>#N/A</v>
      </c>
      <c r="Y32" s="17" t="e">
        <f ca="1">GridCalc</f>
        <v>#N/A</v>
      </c>
      <c r="Z32" s="17" t="e">
        <f ca="1">GridCalc</f>
        <v>#N/A</v>
      </c>
      <c r="AA32" s="17" t="e">
        <f ca="1">GridCalc</f>
        <v>#N/A</v>
      </c>
      <c r="AB32" s="17" t="e">
        <f ca="1">GridCalc</f>
        <v>#N/A</v>
      </c>
      <c r="AC32" s="17" t="e">
        <f ca="1">GridCalc</f>
        <v>#N/A</v>
      </c>
      <c r="AD32" s="17" t="e">
        <f ca="1">GridCalc</f>
        <v>#N/A</v>
      </c>
      <c r="AE32" s="17" t="e">
        <f ca="1">GridCalc</f>
        <v>#N/A</v>
      </c>
      <c r="AF32" s="17" t="e">
        <f ca="1">GridCalc</f>
        <v>#N/A</v>
      </c>
      <c r="AG32" s="17" t="e">
        <f ca="1">GridCalc</f>
        <v>#N/A</v>
      </c>
      <c r="AH32" s="17" t="e">
        <f ca="1">GridCalc</f>
        <v>#N/A</v>
      </c>
      <c r="AI32" s="17" t="e">
        <f ca="1">GridCalc</f>
        <v>#N/A</v>
      </c>
    </row>
    <row r="33" spans="1:35" x14ac:dyDescent="0.2">
      <c r="A33" s="17">
        <f>A32-1</f>
        <v>10.3</v>
      </c>
      <c r="B33" s="17">
        <v>2</v>
      </c>
      <c r="C33" s="17" t="e">
        <f t="shared" ca="1" si="2"/>
        <v>#N/A</v>
      </c>
      <c r="D33" s="17" t="e">
        <f ca="1">INDEX(Activities[활동],MATCH($C33,Activities[Id],0))</f>
        <v>#N/A</v>
      </c>
      <c r="E33" s="17" t="e">
        <f ca="1">GridCalc</f>
        <v>#N/A</v>
      </c>
      <c r="F33" s="17" t="e">
        <f ca="1">GridCalc</f>
        <v>#N/A</v>
      </c>
      <c r="G33" s="17" t="e">
        <f ca="1">GridCalc</f>
        <v>#N/A</v>
      </c>
      <c r="H33" s="17" t="e">
        <f ca="1">GridCalc</f>
        <v>#N/A</v>
      </c>
      <c r="I33" s="17" t="e">
        <f ca="1">GridCalc</f>
        <v>#N/A</v>
      </c>
      <c r="J33" s="17" t="e">
        <f ca="1">GridCalc</f>
        <v>#N/A</v>
      </c>
      <c r="K33" s="17" t="e">
        <f ca="1">GridCalc</f>
        <v>#N/A</v>
      </c>
      <c r="L33" s="17" t="e">
        <f ca="1">GridCalc</f>
        <v>#N/A</v>
      </c>
      <c r="M33" s="17" t="e">
        <f ca="1">GridCalc</f>
        <v>#N/A</v>
      </c>
      <c r="N33" s="17" t="e">
        <f ca="1">GridCalc</f>
        <v>#N/A</v>
      </c>
      <c r="O33" s="17" t="e">
        <f ca="1">GridCalc</f>
        <v>#N/A</v>
      </c>
      <c r="P33" s="17" t="e">
        <f ca="1">GridCalc</f>
        <v>#N/A</v>
      </c>
      <c r="Q33" s="17" t="e">
        <f ca="1">GridCalc</f>
        <v>#N/A</v>
      </c>
      <c r="R33" s="17" t="e">
        <f ca="1">GridCalc</f>
        <v>#N/A</v>
      </c>
      <c r="S33" s="17" t="e">
        <f ca="1">GridCalc</f>
        <v>#N/A</v>
      </c>
      <c r="T33" s="17" t="e">
        <f ca="1">GridCalc</f>
        <v>#N/A</v>
      </c>
      <c r="U33" s="17" t="e">
        <f ca="1">GridCalc</f>
        <v>#N/A</v>
      </c>
      <c r="V33" s="17" t="e">
        <f ca="1">GridCalc</f>
        <v>#N/A</v>
      </c>
      <c r="W33" s="17" t="e">
        <f ca="1">GridCalc</f>
        <v>#N/A</v>
      </c>
      <c r="X33" s="17" t="e">
        <f ca="1">GridCalc</f>
        <v>#N/A</v>
      </c>
      <c r="Y33" s="17" t="e">
        <f ca="1">GridCalc</f>
        <v>#N/A</v>
      </c>
      <c r="Z33" s="17" t="e">
        <f ca="1">GridCalc</f>
        <v>#N/A</v>
      </c>
      <c r="AA33" s="17" t="e">
        <f ca="1">GridCalc</f>
        <v>#N/A</v>
      </c>
      <c r="AB33" s="17" t="e">
        <f ca="1">GridCalc</f>
        <v>#N/A</v>
      </c>
      <c r="AC33" s="17" t="e">
        <f ca="1">GridCalc</f>
        <v>#N/A</v>
      </c>
      <c r="AD33" s="17" t="e">
        <f ca="1">GridCalc</f>
        <v>#N/A</v>
      </c>
      <c r="AE33" s="17" t="e">
        <f ca="1">GridCalc</f>
        <v>#N/A</v>
      </c>
      <c r="AF33" s="17" t="e">
        <f ca="1">GridCalc</f>
        <v>#N/A</v>
      </c>
      <c r="AG33" s="17" t="e">
        <f ca="1">GridCalc</f>
        <v>#N/A</v>
      </c>
      <c r="AH33" s="17" t="e">
        <f ca="1">GridCalc</f>
        <v>#N/A</v>
      </c>
      <c r="AI33" s="17" t="e">
        <f ca="1">GridCalc</f>
        <v>#N/A</v>
      </c>
    </row>
    <row r="34" spans="1:35" x14ac:dyDescent="0.2">
      <c r="A34" s="17">
        <f t="shared" ref="A34:A40" si="3">A33-1</f>
        <v>9.3000000000000007</v>
      </c>
      <c r="B34" s="17">
        <v>3</v>
      </c>
      <c r="C34" s="17" t="e">
        <f t="shared" ca="1" si="2"/>
        <v>#N/A</v>
      </c>
      <c r="D34" s="17" t="e">
        <f ca="1">INDEX(Activities[활동],MATCH($C34,Activities[Id],0))</f>
        <v>#N/A</v>
      </c>
      <c r="E34" s="17" t="e">
        <f ca="1">GridCalc</f>
        <v>#N/A</v>
      </c>
      <c r="F34" s="17" t="e">
        <f ca="1">GridCalc</f>
        <v>#N/A</v>
      </c>
      <c r="G34" s="17" t="e">
        <f ca="1">GridCalc</f>
        <v>#N/A</v>
      </c>
      <c r="H34" s="17" t="e">
        <f ca="1">GridCalc</f>
        <v>#N/A</v>
      </c>
      <c r="I34" s="17" t="e">
        <f ca="1">GridCalc</f>
        <v>#N/A</v>
      </c>
      <c r="J34" s="17" t="e">
        <f ca="1">GridCalc</f>
        <v>#N/A</v>
      </c>
      <c r="K34" s="17" t="e">
        <f ca="1">GridCalc</f>
        <v>#N/A</v>
      </c>
      <c r="L34" s="17" t="e">
        <f ca="1">GridCalc</f>
        <v>#N/A</v>
      </c>
      <c r="M34" s="17" t="e">
        <f ca="1">GridCalc</f>
        <v>#N/A</v>
      </c>
      <c r="N34" s="17" t="e">
        <f ca="1">GridCalc</f>
        <v>#N/A</v>
      </c>
      <c r="O34" s="17" t="e">
        <f ca="1">GridCalc</f>
        <v>#N/A</v>
      </c>
      <c r="P34" s="17" t="e">
        <f ca="1">GridCalc</f>
        <v>#N/A</v>
      </c>
      <c r="Q34" s="17" t="e">
        <f ca="1">GridCalc</f>
        <v>#N/A</v>
      </c>
      <c r="R34" s="17" t="e">
        <f ca="1">GridCalc</f>
        <v>#N/A</v>
      </c>
      <c r="S34" s="17" t="e">
        <f ca="1">GridCalc</f>
        <v>#N/A</v>
      </c>
      <c r="T34" s="17" t="e">
        <f ca="1">GridCalc</f>
        <v>#N/A</v>
      </c>
      <c r="U34" s="17" t="e">
        <f ca="1">GridCalc</f>
        <v>#N/A</v>
      </c>
      <c r="V34" s="17" t="e">
        <f ca="1">GridCalc</f>
        <v>#N/A</v>
      </c>
      <c r="W34" s="17" t="e">
        <f ca="1">GridCalc</f>
        <v>#N/A</v>
      </c>
      <c r="X34" s="17" t="e">
        <f ca="1">GridCalc</f>
        <v>#N/A</v>
      </c>
      <c r="Y34" s="17" t="e">
        <f ca="1">GridCalc</f>
        <v>#N/A</v>
      </c>
      <c r="Z34" s="17" t="e">
        <f ca="1">GridCalc</f>
        <v>#N/A</v>
      </c>
      <c r="AA34" s="17" t="e">
        <f ca="1">GridCalc</f>
        <v>#N/A</v>
      </c>
      <c r="AB34" s="17" t="e">
        <f ca="1">GridCalc</f>
        <v>#N/A</v>
      </c>
      <c r="AC34" s="17" t="e">
        <f ca="1">GridCalc</f>
        <v>#N/A</v>
      </c>
      <c r="AD34" s="17" t="e">
        <f ca="1">GridCalc</f>
        <v>#N/A</v>
      </c>
      <c r="AE34" s="17" t="e">
        <f ca="1">GridCalc</f>
        <v>#N/A</v>
      </c>
      <c r="AF34" s="17" t="e">
        <f ca="1">GridCalc</f>
        <v>#N/A</v>
      </c>
      <c r="AG34" s="17" t="e">
        <f ca="1">GridCalc</f>
        <v>#N/A</v>
      </c>
      <c r="AH34" s="17" t="e">
        <f ca="1">GridCalc</f>
        <v>#N/A</v>
      </c>
      <c r="AI34" s="17" t="e">
        <f ca="1">GridCalc</f>
        <v>#N/A</v>
      </c>
    </row>
    <row r="35" spans="1:35" x14ac:dyDescent="0.2">
      <c r="A35" s="17">
        <f t="shared" si="3"/>
        <v>8.3000000000000007</v>
      </c>
      <c r="B35" s="17">
        <v>4</v>
      </c>
      <c r="C35" s="17" t="e">
        <f t="shared" ca="1" si="2"/>
        <v>#N/A</v>
      </c>
      <c r="D35" s="17" t="e">
        <f ca="1">INDEX(Activities[활동],MATCH($C35,Activities[Id],0))</f>
        <v>#N/A</v>
      </c>
      <c r="E35" s="17" t="e">
        <f ca="1">GridCalc</f>
        <v>#N/A</v>
      </c>
      <c r="F35" s="17" t="e">
        <f ca="1">GridCalc</f>
        <v>#N/A</v>
      </c>
      <c r="G35" s="17" t="e">
        <f ca="1">GridCalc</f>
        <v>#N/A</v>
      </c>
      <c r="H35" s="17" t="e">
        <f ca="1">GridCalc</f>
        <v>#N/A</v>
      </c>
      <c r="I35" s="17" t="e">
        <f ca="1">GridCalc</f>
        <v>#N/A</v>
      </c>
      <c r="J35" s="17" t="e">
        <f ca="1">GridCalc</f>
        <v>#N/A</v>
      </c>
      <c r="K35" s="17" t="e">
        <f ca="1">GridCalc</f>
        <v>#N/A</v>
      </c>
      <c r="L35" s="17" t="e">
        <f ca="1">GridCalc</f>
        <v>#N/A</v>
      </c>
      <c r="M35" s="17" t="e">
        <f ca="1">GridCalc</f>
        <v>#N/A</v>
      </c>
      <c r="N35" s="17" t="e">
        <f ca="1">GridCalc</f>
        <v>#N/A</v>
      </c>
      <c r="O35" s="17" t="e">
        <f ca="1">GridCalc</f>
        <v>#N/A</v>
      </c>
      <c r="P35" s="17" t="e">
        <f ca="1">GridCalc</f>
        <v>#N/A</v>
      </c>
      <c r="Q35" s="17" t="e">
        <f ca="1">GridCalc</f>
        <v>#N/A</v>
      </c>
      <c r="R35" s="17" t="e">
        <f ca="1">GridCalc</f>
        <v>#N/A</v>
      </c>
      <c r="S35" s="17" t="e">
        <f ca="1">GridCalc</f>
        <v>#N/A</v>
      </c>
      <c r="T35" s="17" t="e">
        <f ca="1">GridCalc</f>
        <v>#N/A</v>
      </c>
      <c r="U35" s="17" t="e">
        <f ca="1">GridCalc</f>
        <v>#N/A</v>
      </c>
      <c r="V35" s="17" t="e">
        <f ca="1">GridCalc</f>
        <v>#N/A</v>
      </c>
      <c r="W35" s="17" t="e">
        <f ca="1">GridCalc</f>
        <v>#N/A</v>
      </c>
      <c r="X35" s="17" t="e">
        <f ca="1">GridCalc</f>
        <v>#N/A</v>
      </c>
      <c r="Y35" s="17" t="e">
        <f ca="1">GridCalc</f>
        <v>#N/A</v>
      </c>
      <c r="Z35" s="17" t="e">
        <f ca="1">GridCalc</f>
        <v>#N/A</v>
      </c>
      <c r="AA35" s="17" t="e">
        <f ca="1">GridCalc</f>
        <v>#N/A</v>
      </c>
      <c r="AB35" s="17" t="e">
        <f ca="1">GridCalc</f>
        <v>#N/A</v>
      </c>
      <c r="AC35" s="17" t="e">
        <f ca="1">GridCalc</f>
        <v>#N/A</v>
      </c>
      <c r="AD35" s="17" t="e">
        <f ca="1">GridCalc</f>
        <v>#N/A</v>
      </c>
      <c r="AE35" s="17" t="e">
        <f ca="1">GridCalc</f>
        <v>#N/A</v>
      </c>
      <c r="AF35" s="17" t="e">
        <f ca="1">GridCalc</f>
        <v>#N/A</v>
      </c>
      <c r="AG35" s="17" t="e">
        <f ca="1">GridCalc</f>
        <v>#N/A</v>
      </c>
      <c r="AH35" s="17" t="e">
        <f ca="1">GridCalc</f>
        <v>#N/A</v>
      </c>
      <c r="AI35" s="17" t="e">
        <f ca="1">GridCalc</f>
        <v>#N/A</v>
      </c>
    </row>
    <row r="36" spans="1:35" x14ac:dyDescent="0.2">
      <c r="A36" s="17">
        <f t="shared" si="3"/>
        <v>7.3000000000000007</v>
      </c>
      <c r="B36" s="17">
        <v>5</v>
      </c>
      <c r="C36" s="17" t="e">
        <f t="shared" ca="1" si="2"/>
        <v>#N/A</v>
      </c>
      <c r="D36" s="17" t="e">
        <f ca="1">INDEX(Activities[활동],MATCH($C36,Activities[Id],0))</f>
        <v>#N/A</v>
      </c>
      <c r="E36" s="17" t="e">
        <f ca="1">GridCalc</f>
        <v>#N/A</v>
      </c>
      <c r="F36" s="17" t="e">
        <f ca="1">GridCalc</f>
        <v>#N/A</v>
      </c>
      <c r="G36" s="17" t="e">
        <f ca="1">GridCalc</f>
        <v>#N/A</v>
      </c>
      <c r="H36" s="17" t="e">
        <f ca="1">GridCalc</f>
        <v>#N/A</v>
      </c>
      <c r="I36" s="17" t="e">
        <f ca="1">GridCalc</f>
        <v>#N/A</v>
      </c>
      <c r="J36" s="17" t="e">
        <f ca="1">GridCalc</f>
        <v>#N/A</v>
      </c>
      <c r="K36" s="17" t="e">
        <f ca="1">GridCalc</f>
        <v>#N/A</v>
      </c>
      <c r="L36" s="17" t="e">
        <f ca="1">GridCalc</f>
        <v>#N/A</v>
      </c>
      <c r="M36" s="17" t="e">
        <f ca="1">GridCalc</f>
        <v>#N/A</v>
      </c>
      <c r="N36" s="17" t="e">
        <f ca="1">GridCalc</f>
        <v>#N/A</v>
      </c>
      <c r="O36" s="17" t="e">
        <f ca="1">GridCalc</f>
        <v>#N/A</v>
      </c>
      <c r="P36" s="17" t="e">
        <f ca="1">GridCalc</f>
        <v>#N/A</v>
      </c>
      <c r="Q36" s="17" t="e">
        <f ca="1">GridCalc</f>
        <v>#N/A</v>
      </c>
      <c r="R36" s="17" t="e">
        <f ca="1">GridCalc</f>
        <v>#N/A</v>
      </c>
      <c r="S36" s="17" t="e">
        <f ca="1">GridCalc</f>
        <v>#N/A</v>
      </c>
      <c r="T36" s="17" t="e">
        <f ca="1">GridCalc</f>
        <v>#N/A</v>
      </c>
      <c r="U36" s="17" t="e">
        <f ca="1">GridCalc</f>
        <v>#N/A</v>
      </c>
      <c r="V36" s="17" t="e">
        <f ca="1">GridCalc</f>
        <v>#N/A</v>
      </c>
      <c r="W36" s="17" t="e">
        <f ca="1">GridCalc</f>
        <v>#N/A</v>
      </c>
      <c r="X36" s="17" t="e">
        <f ca="1">GridCalc</f>
        <v>#N/A</v>
      </c>
      <c r="Y36" s="17" t="e">
        <f ca="1">GridCalc</f>
        <v>#N/A</v>
      </c>
      <c r="Z36" s="17" t="e">
        <f ca="1">GridCalc</f>
        <v>#N/A</v>
      </c>
      <c r="AA36" s="17" t="e">
        <f ca="1">GridCalc</f>
        <v>#N/A</v>
      </c>
      <c r="AB36" s="17" t="e">
        <f ca="1">GridCalc</f>
        <v>#N/A</v>
      </c>
      <c r="AC36" s="17" t="e">
        <f ca="1">GridCalc</f>
        <v>#N/A</v>
      </c>
      <c r="AD36" s="17" t="e">
        <f ca="1">GridCalc</f>
        <v>#N/A</v>
      </c>
      <c r="AE36" s="17" t="e">
        <f ca="1">GridCalc</f>
        <v>#N/A</v>
      </c>
      <c r="AF36" s="17" t="e">
        <f ca="1">GridCalc</f>
        <v>#N/A</v>
      </c>
      <c r="AG36" s="17" t="e">
        <f ca="1">GridCalc</f>
        <v>#N/A</v>
      </c>
      <c r="AH36" s="17" t="e">
        <f ca="1">GridCalc</f>
        <v>#N/A</v>
      </c>
      <c r="AI36" s="17" t="e">
        <f ca="1">GridCalc</f>
        <v>#N/A</v>
      </c>
    </row>
    <row r="37" spans="1:35" x14ac:dyDescent="0.2">
      <c r="A37" s="17">
        <f t="shared" si="3"/>
        <v>6.3000000000000007</v>
      </c>
      <c r="B37" s="17">
        <v>6</v>
      </c>
      <c r="C37" s="17" t="e">
        <f t="shared" ca="1" si="2"/>
        <v>#N/A</v>
      </c>
      <c r="D37" s="17" t="e">
        <f ca="1">INDEX(Activities[활동],MATCH($C37,Activities[Id],0))</f>
        <v>#N/A</v>
      </c>
      <c r="E37" s="17" t="e">
        <f ca="1">GridCalc</f>
        <v>#N/A</v>
      </c>
      <c r="F37" s="17" t="e">
        <f ca="1">GridCalc</f>
        <v>#N/A</v>
      </c>
      <c r="G37" s="17" t="e">
        <f ca="1">GridCalc</f>
        <v>#N/A</v>
      </c>
      <c r="H37" s="17" t="e">
        <f ca="1">GridCalc</f>
        <v>#N/A</v>
      </c>
      <c r="I37" s="17" t="e">
        <f ca="1">GridCalc</f>
        <v>#N/A</v>
      </c>
      <c r="J37" s="17" t="e">
        <f ca="1">GridCalc</f>
        <v>#N/A</v>
      </c>
      <c r="K37" s="17" t="e">
        <f ca="1">GridCalc</f>
        <v>#N/A</v>
      </c>
      <c r="L37" s="17" t="e">
        <f ca="1">GridCalc</f>
        <v>#N/A</v>
      </c>
      <c r="M37" s="17" t="e">
        <f ca="1">GridCalc</f>
        <v>#N/A</v>
      </c>
      <c r="N37" s="17" t="e">
        <f ca="1">GridCalc</f>
        <v>#N/A</v>
      </c>
      <c r="O37" s="17" t="e">
        <f ca="1">GridCalc</f>
        <v>#N/A</v>
      </c>
      <c r="P37" s="17" t="e">
        <f ca="1">GridCalc</f>
        <v>#N/A</v>
      </c>
      <c r="Q37" s="17" t="e">
        <f ca="1">GridCalc</f>
        <v>#N/A</v>
      </c>
      <c r="R37" s="17" t="e">
        <f ca="1">GridCalc</f>
        <v>#N/A</v>
      </c>
      <c r="S37" s="17" t="e">
        <f ca="1">GridCalc</f>
        <v>#N/A</v>
      </c>
      <c r="T37" s="17" t="e">
        <f ca="1">GridCalc</f>
        <v>#N/A</v>
      </c>
      <c r="U37" s="17" t="e">
        <f ca="1">GridCalc</f>
        <v>#N/A</v>
      </c>
      <c r="V37" s="17" t="e">
        <f ca="1">GridCalc</f>
        <v>#N/A</v>
      </c>
      <c r="W37" s="17" t="e">
        <f ca="1">GridCalc</f>
        <v>#N/A</v>
      </c>
      <c r="X37" s="17" t="e">
        <f ca="1">GridCalc</f>
        <v>#N/A</v>
      </c>
      <c r="Y37" s="17" t="e">
        <f ca="1">GridCalc</f>
        <v>#N/A</v>
      </c>
      <c r="Z37" s="17" t="e">
        <f ca="1">GridCalc</f>
        <v>#N/A</v>
      </c>
      <c r="AA37" s="17" t="e">
        <f ca="1">GridCalc</f>
        <v>#N/A</v>
      </c>
      <c r="AB37" s="17" t="e">
        <f ca="1">GridCalc</f>
        <v>#N/A</v>
      </c>
      <c r="AC37" s="17" t="e">
        <f ca="1">GridCalc</f>
        <v>#N/A</v>
      </c>
      <c r="AD37" s="17" t="e">
        <f ca="1">GridCalc</f>
        <v>#N/A</v>
      </c>
      <c r="AE37" s="17" t="e">
        <f ca="1">GridCalc</f>
        <v>#N/A</v>
      </c>
      <c r="AF37" s="17" t="e">
        <f ca="1">GridCalc</f>
        <v>#N/A</v>
      </c>
      <c r="AG37" s="17" t="e">
        <f ca="1">GridCalc</f>
        <v>#N/A</v>
      </c>
      <c r="AH37" s="17" t="e">
        <f ca="1">GridCalc</f>
        <v>#N/A</v>
      </c>
      <c r="AI37" s="17" t="e">
        <f ca="1">GridCalc</f>
        <v>#N/A</v>
      </c>
    </row>
    <row r="38" spans="1:35" x14ac:dyDescent="0.2">
      <c r="A38" s="17">
        <f t="shared" si="3"/>
        <v>5.3000000000000007</v>
      </c>
      <c r="B38" s="17">
        <v>7</v>
      </c>
      <c r="C38" s="17">
        <f t="shared" ca="1" si="2"/>
        <v>1</v>
      </c>
      <c r="D38" s="17" t="str">
        <f ca="1">INDEX(Activities[활동],MATCH($C38,Activities[Id],0))</f>
        <v>PDR</v>
      </c>
      <c r="E38" s="17" t="e">
        <f ca="1">GridCalc</f>
        <v>#N/A</v>
      </c>
      <c r="F38" s="17">
        <f ca="1">GridCalc</f>
        <v>5.3000000000000007</v>
      </c>
      <c r="G38" s="17" t="e">
        <f ca="1">GridCalc</f>
        <v>#N/A</v>
      </c>
      <c r="H38" s="17" t="e">
        <f ca="1">GridCalc</f>
        <v>#N/A</v>
      </c>
      <c r="I38" s="17" t="e">
        <f ca="1">GridCalc</f>
        <v>#N/A</v>
      </c>
      <c r="J38" s="17" t="e">
        <f ca="1">GridCalc</f>
        <v>#N/A</v>
      </c>
      <c r="K38" s="17" t="e">
        <f ca="1">GridCalc</f>
        <v>#N/A</v>
      </c>
      <c r="L38" s="17" t="e">
        <f ca="1">GridCalc</f>
        <v>#N/A</v>
      </c>
      <c r="M38" s="17" t="e">
        <f ca="1">GridCalc</f>
        <v>#N/A</v>
      </c>
      <c r="N38" s="17" t="e">
        <f ca="1">GridCalc</f>
        <v>#N/A</v>
      </c>
      <c r="O38" s="17" t="e">
        <f ca="1">GridCalc</f>
        <v>#N/A</v>
      </c>
      <c r="P38" s="17" t="e">
        <f ca="1">GridCalc</f>
        <v>#N/A</v>
      </c>
      <c r="Q38" s="17" t="e">
        <f ca="1">GridCalc</f>
        <v>#N/A</v>
      </c>
      <c r="R38" s="17" t="e">
        <f ca="1">GridCalc</f>
        <v>#N/A</v>
      </c>
      <c r="S38" s="17" t="e">
        <f ca="1">GridCalc</f>
        <v>#N/A</v>
      </c>
      <c r="T38" s="17" t="e">
        <f ca="1">GridCalc</f>
        <v>#N/A</v>
      </c>
      <c r="U38" s="17" t="e">
        <f ca="1">GridCalc</f>
        <v>#N/A</v>
      </c>
      <c r="V38" s="17" t="e">
        <f ca="1">GridCalc</f>
        <v>#N/A</v>
      </c>
      <c r="W38" s="17" t="e">
        <f ca="1">GridCalc</f>
        <v>#N/A</v>
      </c>
      <c r="X38" s="17" t="e">
        <f ca="1">GridCalc</f>
        <v>#N/A</v>
      </c>
      <c r="Y38" s="17" t="e">
        <f ca="1">GridCalc</f>
        <v>#N/A</v>
      </c>
      <c r="Z38" s="17" t="e">
        <f ca="1">GridCalc</f>
        <v>#N/A</v>
      </c>
      <c r="AA38" s="17" t="e">
        <f ca="1">GridCalc</f>
        <v>#N/A</v>
      </c>
      <c r="AB38" s="17" t="e">
        <f ca="1">GridCalc</f>
        <v>#N/A</v>
      </c>
      <c r="AC38" s="17" t="e">
        <f ca="1">GridCalc</f>
        <v>#N/A</v>
      </c>
      <c r="AD38" s="17" t="e">
        <f ca="1">GridCalc</f>
        <v>#N/A</v>
      </c>
      <c r="AE38" s="17" t="e">
        <f ca="1">GridCalc</f>
        <v>#N/A</v>
      </c>
      <c r="AF38" s="17" t="e">
        <f ca="1">GridCalc</f>
        <v>#N/A</v>
      </c>
      <c r="AG38" s="17" t="e">
        <f ca="1">GridCalc</f>
        <v>#N/A</v>
      </c>
      <c r="AH38" s="17" t="e">
        <f ca="1">GridCalc</f>
        <v>#N/A</v>
      </c>
      <c r="AI38" s="17" t="e">
        <f ca="1">GridCalc</f>
        <v>#N/A</v>
      </c>
    </row>
    <row r="39" spans="1:35" x14ac:dyDescent="0.2">
      <c r="A39" s="17">
        <f t="shared" si="3"/>
        <v>4.3000000000000007</v>
      </c>
      <c r="B39" s="17">
        <v>8</v>
      </c>
      <c r="C39" s="17">
        <f t="shared" ca="1" si="2"/>
        <v>2</v>
      </c>
      <c r="D39" s="17" t="str">
        <f ca="1">INDEX(Activities[활동],MATCH($C39,Activities[Id],0))</f>
        <v>TRR</v>
      </c>
      <c r="E39" s="17" t="e">
        <f ca="1">GridCalc</f>
        <v>#N/A</v>
      </c>
      <c r="F39" s="17" t="e">
        <f ca="1">GridCalc</f>
        <v>#N/A</v>
      </c>
      <c r="G39" s="17" t="e">
        <f ca="1">GridCalc</f>
        <v>#N/A</v>
      </c>
      <c r="H39" s="17" t="e">
        <f ca="1">GridCalc</f>
        <v>#N/A</v>
      </c>
      <c r="I39" s="17" t="e">
        <f ca="1">GridCalc</f>
        <v>#N/A</v>
      </c>
      <c r="J39" s="17" t="e">
        <f ca="1">GridCalc</f>
        <v>#N/A</v>
      </c>
      <c r="K39" s="17">
        <f ca="1">GridCalc</f>
        <v>4.3000000000000007</v>
      </c>
      <c r="L39" s="17" t="e">
        <f ca="1">GridCalc</f>
        <v>#N/A</v>
      </c>
      <c r="M39" s="17" t="e">
        <f ca="1">GridCalc</f>
        <v>#N/A</v>
      </c>
      <c r="N39" s="17" t="e">
        <f ca="1">GridCalc</f>
        <v>#N/A</v>
      </c>
      <c r="O39" s="17" t="e">
        <f ca="1">GridCalc</f>
        <v>#N/A</v>
      </c>
      <c r="P39" s="17" t="e">
        <f ca="1">GridCalc</f>
        <v>#N/A</v>
      </c>
      <c r="Q39" s="17" t="e">
        <f ca="1">GridCalc</f>
        <v>#N/A</v>
      </c>
      <c r="R39" s="17" t="e">
        <f ca="1">GridCalc</f>
        <v>#N/A</v>
      </c>
      <c r="S39" s="17" t="e">
        <f ca="1">GridCalc</f>
        <v>#N/A</v>
      </c>
      <c r="T39" s="17" t="e">
        <f ca="1">GridCalc</f>
        <v>#N/A</v>
      </c>
      <c r="U39" s="17" t="e">
        <f ca="1">GridCalc</f>
        <v>#N/A</v>
      </c>
      <c r="V39" s="17" t="e">
        <f ca="1">GridCalc</f>
        <v>#N/A</v>
      </c>
      <c r="W39" s="17" t="e">
        <f ca="1">GridCalc</f>
        <v>#N/A</v>
      </c>
      <c r="X39" s="17" t="e">
        <f ca="1">GridCalc</f>
        <v>#N/A</v>
      </c>
      <c r="Y39" s="17" t="e">
        <f ca="1">GridCalc</f>
        <v>#N/A</v>
      </c>
      <c r="Z39" s="17" t="e">
        <f ca="1">GridCalc</f>
        <v>#N/A</v>
      </c>
      <c r="AA39" s="17" t="e">
        <f ca="1">GridCalc</f>
        <v>#N/A</v>
      </c>
      <c r="AB39" s="17" t="e">
        <f ca="1">GridCalc</f>
        <v>#N/A</v>
      </c>
      <c r="AC39" s="17" t="e">
        <f ca="1">GridCalc</f>
        <v>#N/A</v>
      </c>
      <c r="AD39" s="17" t="e">
        <f ca="1">GridCalc</f>
        <v>#N/A</v>
      </c>
      <c r="AE39" s="17" t="e">
        <f ca="1">GridCalc</f>
        <v>#N/A</v>
      </c>
      <c r="AF39" s="17" t="e">
        <f ca="1">GridCalc</f>
        <v>#N/A</v>
      </c>
      <c r="AG39" s="17" t="e">
        <f ca="1">GridCalc</f>
        <v>#N/A</v>
      </c>
      <c r="AH39" s="17" t="e">
        <f ca="1">GridCalc</f>
        <v>#N/A</v>
      </c>
      <c r="AI39" s="17" t="e">
        <f ca="1">GridCalc</f>
        <v>#N/A</v>
      </c>
    </row>
    <row r="40" spans="1:35" x14ac:dyDescent="0.2">
      <c r="A40" s="17">
        <f t="shared" si="3"/>
        <v>3.3000000000000007</v>
      </c>
      <c r="B40" s="17">
        <v>9</v>
      </c>
      <c r="C40" s="17">
        <f t="shared" ca="1" si="2"/>
        <v>3</v>
      </c>
      <c r="D40" s="17" t="str">
        <f ca="1">INDEX(Activities[활동],MATCH($C40,Activities[Id],0))</f>
        <v>Pre-Design Step</v>
      </c>
      <c r="E40" s="17" t="e">
        <f ca="1">GridCalc</f>
        <v>#N/A</v>
      </c>
      <c r="F40" s="17" t="e">
        <f ca="1">GridCalc</f>
        <v>#N/A</v>
      </c>
      <c r="G40" s="17" t="e">
        <f ca="1">GridCalc</f>
        <v>#N/A</v>
      </c>
      <c r="H40" s="17" t="e">
        <f ca="1">GridCalc</f>
        <v>#N/A</v>
      </c>
      <c r="I40" s="17" t="e">
        <f ca="1">GridCalc</f>
        <v>#N/A</v>
      </c>
      <c r="J40" s="17" t="e">
        <f ca="1">GridCalc</f>
        <v>#N/A</v>
      </c>
      <c r="K40" s="17" t="e">
        <f ca="1">GridCalc</f>
        <v>#N/A</v>
      </c>
      <c r="L40" s="17">
        <f ca="1">GridCalc</f>
        <v>3.3000000000000007</v>
      </c>
      <c r="M40" s="17">
        <f ca="1">GridCalc</f>
        <v>3.3000000000000007</v>
      </c>
      <c r="N40" s="17">
        <f ca="1">GridCalc</f>
        <v>3.3000000000000007</v>
      </c>
      <c r="O40" s="17">
        <f ca="1">GridCalc</f>
        <v>3.3000000000000007</v>
      </c>
      <c r="P40" s="17">
        <f ca="1">GridCalc</f>
        <v>3.3000000000000007</v>
      </c>
      <c r="Q40" s="17">
        <f ca="1">GridCalc</f>
        <v>3.3000000000000007</v>
      </c>
      <c r="R40" s="17">
        <f ca="1">GridCalc</f>
        <v>3.3000000000000007</v>
      </c>
      <c r="S40" s="17">
        <f ca="1">GridCalc</f>
        <v>3.3000000000000007</v>
      </c>
      <c r="T40" s="17">
        <f ca="1">GridCalc</f>
        <v>3.3000000000000007</v>
      </c>
      <c r="U40" s="17">
        <f ca="1">GridCalc</f>
        <v>3.3000000000000007</v>
      </c>
      <c r="V40" s="17">
        <f ca="1">GridCalc</f>
        <v>3.3000000000000007</v>
      </c>
      <c r="W40" s="17">
        <f ca="1">GridCalc</f>
        <v>3.3000000000000007</v>
      </c>
      <c r="X40" s="17">
        <f ca="1">GridCalc</f>
        <v>3.3000000000000007</v>
      </c>
      <c r="Y40" s="17">
        <f ca="1">GridCalc</f>
        <v>3.3000000000000007</v>
      </c>
      <c r="Z40" s="17">
        <f ca="1">GridCalc</f>
        <v>3.3000000000000007</v>
      </c>
      <c r="AA40" s="17">
        <f ca="1">GridCalc</f>
        <v>3.3000000000000007</v>
      </c>
      <c r="AB40" s="17">
        <f ca="1">GridCalc</f>
        <v>3.3000000000000007</v>
      </c>
      <c r="AC40" s="17">
        <f ca="1">GridCalc</f>
        <v>3.3000000000000007</v>
      </c>
      <c r="AD40" s="17">
        <f ca="1">GridCalc</f>
        <v>3.3000000000000007</v>
      </c>
      <c r="AE40" s="17">
        <f ca="1">GridCalc</f>
        <v>3.3000000000000007</v>
      </c>
      <c r="AF40" s="17">
        <f ca="1">GridCalc</f>
        <v>3.3000000000000007</v>
      </c>
      <c r="AG40" s="17">
        <f ca="1">GridCalc</f>
        <v>3.3000000000000007</v>
      </c>
      <c r="AH40" s="17">
        <f ca="1">GridCalc</f>
        <v>3.3000000000000007</v>
      </c>
      <c r="AI40" s="17">
        <f ca="1">GridCalc</f>
        <v>3.3000000000000007</v>
      </c>
    </row>
    <row r="43" spans="1:35" x14ac:dyDescent="0.2">
      <c r="E43" s="18">
        <f ca="1">E31</f>
        <v>44141</v>
      </c>
      <c r="F43" s="18">
        <f t="shared" ref="F43:AH43" ca="1" si="4">F31</f>
        <v>44142</v>
      </c>
      <c r="G43" s="18">
        <f t="shared" ca="1" si="4"/>
        <v>44143</v>
      </c>
      <c r="H43" s="18">
        <f t="shared" ca="1" si="4"/>
        <v>44144</v>
      </c>
      <c r="I43" s="18">
        <f t="shared" ca="1" si="4"/>
        <v>44145</v>
      </c>
      <c r="J43" s="18">
        <f t="shared" ca="1" si="4"/>
        <v>44146</v>
      </c>
      <c r="K43" s="18">
        <f t="shared" ca="1" si="4"/>
        <v>44147</v>
      </c>
      <c r="L43" s="18">
        <f t="shared" ca="1" si="4"/>
        <v>44148</v>
      </c>
      <c r="M43" s="18">
        <f t="shared" ca="1" si="4"/>
        <v>44149</v>
      </c>
      <c r="N43" s="18">
        <f t="shared" ca="1" si="4"/>
        <v>44150</v>
      </c>
      <c r="O43" s="18">
        <f t="shared" ca="1" si="4"/>
        <v>44151</v>
      </c>
      <c r="P43" s="18">
        <f t="shared" ca="1" si="4"/>
        <v>44152</v>
      </c>
      <c r="Q43" s="18">
        <f t="shared" ca="1" si="4"/>
        <v>44153</v>
      </c>
      <c r="R43" s="18">
        <f t="shared" ca="1" si="4"/>
        <v>44154</v>
      </c>
      <c r="S43" s="18">
        <f t="shared" ca="1" si="4"/>
        <v>44155</v>
      </c>
      <c r="T43" s="18">
        <f t="shared" ca="1" si="4"/>
        <v>44156</v>
      </c>
      <c r="U43" s="18">
        <f t="shared" ca="1" si="4"/>
        <v>44157</v>
      </c>
      <c r="V43" s="18">
        <f t="shared" ca="1" si="4"/>
        <v>44158</v>
      </c>
      <c r="W43" s="18">
        <f t="shared" ca="1" si="4"/>
        <v>44159</v>
      </c>
      <c r="X43" s="18">
        <f t="shared" ca="1" si="4"/>
        <v>44160</v>
      </c>
      <c r="Y43" s="18">
        <f t="shared" ca="1" si="4"/>
        <v>44161</v>
      </c>
      <c r="Z43" s="18">
        <f t="shared" ca="1" si="4"/>
        <v>44162</v>
      </c>
      <c r="AA43" s="18">
        <f t="shared" ca="1" si="4"/>
        <v>44163</v>
      </c>
      <c r="AB43" s="18">
        <f t="shared" ca="1" si="4"/>
        <v>44164</v>
      </c>
      <c r="AC43" s="18">
        <f t="shared" ca="1" si="4"/>
        <v>44165</v>
      </c>
      <c r="AD43" s="18">
        <f t="shared" ca="1" si="4"/>
        <v>44166</v>
      </c>
      <c r="AE43" s="18">
        <f t="shared" ca="1" si="4"/>
        <v>44167</v>
      </c>
      <c r="AF43" s="18">
        <f t="shared" ca="1" si="4"/>
        <v>44168</v>
      </c>
      <c r="AG43" s="18">
        <f t="shared" ca="1" si="4"/>
        <v>44169</v>
      </c>
      <c r="AH43" s="18">
        <f t="shared" ca="1" si="4"/>
        <v>44170</v>
      </c>
    </row>
    <row r="44" spans="1:35" x14ac:dyDescent="0.2">
      <c r="C44" s="17" t="e">
        <f ca="1">C32</f>
        <v>#N/A</v>
      </c>
      <c r="D44" s="17" t="e">
        <f ca="1">UPPER(INDEX(Activities[활동],MATCH($C44,Activities[Id],0)))</f>
        <v>#N/A</v>
      </c>
      <c r="E44" s="17" t="e">
        <f t="shared" ref="E44:AH44" ca="1" si="5">IF(ISERROR(F32),E32,NA())</f>
        <v>#N/A</v>
      </c>
      <c r="F44" s="17" t="e">
        <f t="shared" ca="1" si="5"/>
        <v>#N/A</v>
      </c>
      <c r="G44" s="17" t="e">
        <f t="shared" ca="1" si="5"/>
        <v>#N/A</v>
      </c>
      <c r="H44" s="17" t="e">
        <f t="shared" ca="1" si="5"/>
        <v>#N/A</v>
      </c>
      <c r="I44" s="17" t="e">
        <f t="shared" ca="1" si="5"/>
        <v>#N/A</v>
      </c>
      <c r="J44" s="17" t="e">
        <f t="shared" ca="1" si="5"/>
        <v>#N/A</v>
      </c>
      <c r="K44" s="17" t="e">
        <f t="shared" ca="1" si="5"/>
        <v>#N/A</v>
      </c>
      <c r="L44" s="17" t="e">
        <f t="shared" ca="1" si="5"/>
        <v>#N/A</v>
      </c>
      <c r="M44" s="17" t="e">
        <f t="shared" ca="1" si="5"/>
        <v>#N/A</v>
      </c>
      <c r="N44" s="17" t="e">
        <f t="shared" ca="1" si="5"/>
        <v>#N/A</v>
      </c>
      <c r="O44" s="17" t="e">
        <f t="shared" ca="1" si="5"/>
        <v>#N/A</v>
      </c>
      <c r="P44" s="17" t="e">
        <f t="shared" ca="1" si="5"/>
        <v>#N/A</v>
      </c>
      <c r="Q44" s="17" t="e">
        <f t="shared" ca="1" si="5"/>
        <v>#N/A</v>
      </c>
      <c r="R44" s="17" t="e">
        <f t="shared" ca="1" si="5"/>
        <v>#N/A</v>
      </c>
      <c r="S44" s="17" t="e">
        <f t="shared" ca="1" si="5"/>
        <v>#N/A</v>
      </c>
      <c r="T44" s="17" t="e">
        <f t="shared" ca="1" si="5"/>
        <v>#N/A</v>
      </c>
      <c r="U44" s="17" t="e">
        <f t="shared" ca="1" si="5"/>
        <v>#N/A</v>
      </c>
      <c r="V44" s="17" t="e">
        <f t="shared" ca="1" si="5"/>
        <v>#N/A</v>
      </c>
      <c r="W44" s="17" t="e">
        <f t="shared" ca="1" si="5"/>
        <v>#N/A</v>
      </c>
      <c r="X44" s="17" t="e">
        <f t="shared" ca="1" si="5"/>
        <v>#N/A</v>
      </c>
      <c r="Y44" s="17" t="e">
        <f t="shared" ca="1" si="5"/>
        <v>#N/A</v>
      </c>
      <c r="Z44" s="17" t="e">
        <f t="shared" ca="1" si="5"/>
        <v>#N/A</v>
      </c>
      <c r="AA44" s="17" t="e">
        <f t="shared" ca="1" si="5"/>
        <v>#N/A</v>
      </c>
      <c r="AB44" s="17" t="e">
        <f t="shared" ca="1" si="5"/>
        <v>#N/A</v>
      </c>
      <c r="AC44" s="17" t="e">
        <f t="shared" ca="1" si="5"/>
        <v>#N/A</v>
      </c>
      <c r="AD44" s="17" t="e">
        <f t="shared" ca="1" si="5"/>
        <v>#N/A</v>
      </c>
      <c r="AE44" s="17" t="e">
        <f t="shared" ca="1" si="5"/>
        <v>#N/A</v>
      </c>
      <c r="AF44" s="17" t="e">
        <f t="shared" ca="1" si="5"/>
        <v>#N/A</v>
      </c>
      <c r="AG44" s="17" t="e">
        <f t="shared" ca="1" si="5"/>
        <v>#N/A</v>
      </c>
      <c r="AH44" s="17" t="e">
        <f t="shared" ca="1" si="5"/>
        <v>#N/A</v>
      </c>
    </row>
    <row r="45" spans="1:35" x14ac:dyDescent="0.2">
      <c r="C45" s="17" t="e">
        <f t="shared" ref="C45:C52" ca="1" si="6">C33</f>
        <v>#N/A</v>
      </c>
      <c r="D45" s="17" t="e">
        <f ca="1">UPPER(INDEX(Activities[활동],MATCH($C45,Activities[Id],0)))</f>
        <v>#N/A</v>
      </c>
      <c r="E45" s="17" t="e">
        <f t="shared" ref="E45:AH45" ca="1" si="7">IF(ISERROR(F33),E33,NA())</f>
        <v>#N/A</v>
      </c>
      <c r="F45" s="17" t="e">
        <f t="shared" ca="1" si="7"/>
        <v>#N/A</v>
      </c>
      <c r="G45" s="17" t="e">
        <f t="shared" ca="1" si="7"/>
        <v>#N/A</v>
      </c>
      <c r="H45" s="17" t="e">
        <f t="shared" ca="1" si="7"/>
        <v>#N/A</v>
      </c>
      <c r="I45" s="17" t="e">
        <f t="shared" ca="1" si="7"/>
        <v>#N/A</v>
      </c>
      <c r="J45" s="17" t="e">
        <f t="shared" ca="1" si="7"/>
        <v>#N/A</v>
      </c>
      <c r="K45" s="17" t="e">
        <f t="shared" ca="1" si="7"/>
        <v>#N/A</v>
      </c>
      <c r="L45" s="17" t="e">
        <f t="shared" ca="1" si="7"/>
        <v>#N/A</v>
      </c>
      <c r="M45" s="17" t="e">
        <f t="shared" ca="1" si="7"/>
        <v>#N/A</v>
      </c>
      <c r="N45" s="17" t="e">
        <f t="shared" ca="1" si="7"/>
        <v>#N/A</v>
      </c>
      <c r="O45" s="17" t="e">
        <f t="shared" ca="1" si="7"/>
        <v>#N/A</v>
      </c>
      <c r="P45" s="17" t="e">
        <f t="shared" ca="1" si="7"/>
        <v>#N/A</v>
      </c>
      <c r="Q45" s="17" t="e">
        <f t="shared" ca="1" si="7"/>
        <v>#N/A</v>
      </c>
      <c r="R45" s="17" t="e">
        <f t="shared" ca="1" si="7"/>
        <v>#N/A</v>
      </c>
      <c r="S45" s="17" t="e">
        <f t="shared" ca="1" si="7"/>
        <v>#N/A</v>
      </c>
      <c r="T45" s="17" t="e">
        <f t="shared" ca="1" si="7"/>
        <v>#N/A</v>
      </c>
      <c r="U45" s="17" t="e">
        <f t="shared" ca="1" si="7"/>
        <v>#N/A</v>
      </c>
      <c r="V45" s="17" t="e">
        <f t="shared" ca="1" si="7"/>
        <v>#N/A</v>
      </c>
      <c r="W45" s="17" t="e">
        <f t="shared" ca="1" si="7"/>
        <v>#N/A</v>
      </c>
      <c r="X45" s="17" t="e">
        <f t="shared" ca="1" si="7"/>
        <v>#N/A</v>
      </c>
      <c r="Y45" s="17" t="e">
        <f t="shared" ca="1" si="7"/>
        <v>#N/A</v>
      </c>
      <c r="Z45" s="17" t="e">
        <f t="shared" ca="1" si="7"/>
        <v>#N/A</v>
      </c>
      <c r="AA45" s="17" t="e">
        <f t="shared" ca="1" si="7"/>
        <v>#N/A</v>
      </c>
      <c r="AB45" s="17" t="e">
        <f t="shared" ca="1" si="7"/>
        <v>#N/A</v>
      </c>
      <c r="AC45" s="17" t="e">
        <f t="shared" ca="1" si="7"/>
        <v>#N/A</v>
      </c>
      <c r="AD45" s="17" t="e">
        <f t="shared" ca="1" si="7"/>
        <v>#N/A</v>
      </c>
      <c r="AE45" s="17" t="e">
        <f t="shared" ca="1" si="7"/>
        <v>#N/A</v>
      </c>
      <c r="AF45" s="17" t="e">
        <f t="shared" ca="1" si="7"/>
        <v>#N/A</v>
      </c>
      <c r="AG45" s="17" t="e">
        <f t="shared" ca="1" si="7"/>
        <v>#N/A</v>
      </c>
      <c r="AH45" s="17" t="e">
        <f t="shared" ca="1" si="7"/>
        <v>#N/A</v>
      </c>
    </row>
    <row r="46" spans="1:35" x14ac:dyDescent="0.2">
      <c r="C46" s="17" t="e">
        <f t="shared" ca="1" si="6"/>
        <v>#N/A</v>
      </c>
      <c r="D46" s="17" t="e">
        <f ca="1">UPPER(INDEX(Activities[활동],MATCH($C46,Activities[Id],0)))</f>
        <v>#N/A</v>
      </c>
      <c r="E46" s="17" t="e">
        <f t="shared" ref="E46:AH46" ca="1" si="8">IF(ISERROR(F34),E34,NA())</f>
        <v>#N/A</v>
      </c>
      <c r="F46" s="17" t="e">
        <f t="shared" ca="1" si="8"/>
        <v>#N/A</v>
      </c>
      <c r="G46" s="17" t="e">
        <f t="shared" ca="1" si="8"/>
        <v>#N/A</v>
      </c>
      <c r="H46" s="17" t="e">
        <f t="shared" ca="1" si="8"/>
        <v>#N/A</v>
      </c>
      <c r="I46" s="17" t="e">
        <f t="shared" ca="1" si="8"/>
        <v>#N/A</v>
      </c>
      <c r="J46" s="17" t="e">
        <f t="shared" ca="1" si="8"/>
        <v>#N/A</v>
      </c>
      <c r="K46" s="17" t="e">
        <f t="shared" ca="1" si="8"/>
        <v>#N/A</v>
      </c>
      <c r="L46" s="17" t="e">
        <f t="shared" ca="1" si="8"/>
        <v>#N/A</v>
      </c>
      <c r="M46" s="17" t="e">
        <f t="shared" ca="1" si="8"/>
        <v>#N/A</v>
      </c>
      <c r="N46" s="17" t="e">
        <f t="shared" ca="1" si="8"/>
        <v>#N/A</v>
      </c>
      <c r="O46" s="17" t="e">
        <f t="shared" ca="1" si="8"/>
        <v>#N/A</v>
      </c>
      <c r="P46" s="17" t="e">
        <f t="shared" ca="1" si="8"/>
        <v>#N/A</v>
      </c>
      <c r="Q46" s="17" t="e">
        <f t="shared" ca="1" si="8"/>
        <v>#N/A</v>
      </c>
      <c r="R46" s="17" t="e">
        <f t="shared" ca="1" si="8"/>
        <v>#N/A</v>
      </c>
      <c r="S46" s="17" t="e">
        <f t="shared" ca="1" si="8"/>
        <v>#N/A</v>
      </c>
      <c r="T46" s="17" t="e">
        <f t="shared" ca="1" si="8"/>
        <v>#N/A</v>
      </c>
      <c r="U46" s="17" t="e">
        <f t="shared" ca="1" si="8"/>
        <v>#N/A</v>
      </c>
      <c r="V46" s="17" t="e">
        <f t="shared" ca="1" si="8"/>
        <v>#N/A</v>
      </c>
      <c r="W46" s="17" t="e">
        <f t="shared" ca="1" si="8"/>
        <v>#N/A</v>
      </c>
      <c r="X46" s="17" t="e">
        <f t="shared" ca="1" si="8"/>
        <v>#N/A</v>
      </c>
      <c r="Y46" s="17" t="e">
        <f t="shared" ca="1" si="8"/>
        <v>#N/A</v>
      </c>
      <c r="Z46" s="17" t="e">
        <f t="shared" ca="1" si="8"/>
        <v>#N/A</v>
      </c>
      <c r="AA46" s="17" t="e">
        <f t="shared" ca="1" si="8"/>
        <v>#N/A</v>
      </c>
      <c r="AB46" s="17" t="e">
        <f t="shared" ca="1" si="8"/>
        <v>#N/A</v>
      </c>
      <c r="AC46" s="17" t="e">
        <f t="shared" ca="1" si="8"/>
        <v>#N/A</v>
      </c>
      <c r="AD46" s="17" t="e">
        <f t="shared" ca="1" si="8"/>
        <v>#N/A</v>
      </c>
      <c r="AE46" s="17" t="e">
        <f t="shared" ca="1" si="8"/>
        <v>#N/A</v>
      </c>
      <c r="AF46" s="17" t="e">
        <f t="shared" ca="1" si="8"/>
        <v>#N/A</v>
      </c>
      <c r="AG46" s="17" t="e">
        <f t="shared" ca="1" si="8"/>
        <v>#N/A</v>
      </c>
      <c r="AH46" s="17" t="e">
        <f t="shared" ca="1" si="8"/>
        <v>#N/A</v>
      </c>
    </row>
    <row r="47" spans="1:35" x14ac:dyDescent="0.2">
      <c r="C47" s="17" t="e">
        <f t="shared" ca="1" si="6"/>
        <v>#N/A</v>
      </c>
      <c r="D47" s="17" t="e">
        <f ca="1">UPPER(INDEX(Activities[활동],MATCH($C47,Activities[Id],0)))</f>
        <v>#N/A</v>
      </c>
      <c r="E47" s="17" t="e">
        <f t="shared" ref="E47:AH47" ca="1" si="9">IF(ISERROR(F35),E35,NA())</f>
        <v>#N/A</v>
      </c>
      <c r="F47" s="17" t="e">
        <f t="shared" ca="1" si="9"/>
        <v>#N/A</v>
      </c>
      <c r="G47" s="17" t="e">
        <f t="shared" ca="1" si="9"/>
        <v>#N/A</v>
      </c>
      <c r="H47" s="17" t="e">
        <f t="shared" ca="1" si="9"/>
        <v>#N/A</v>
      </c>
      <c r="I47" s="17" t="e">
        <f t="shared" ca="1" si="9"/>
        <v>#N/A</v>
      </c>
      <c r="J47" s="17" t="e">
        <f t="shared" ca="1" si="9"/>
        <v>#N/A</v>
      </c>
      <c r="K47" s="17" t="e">
        <f t="shared" ca="1" si="9"/>
        <v>#N/A</v>
      </c>
      <c r="L47" s="17" t="e">
        <f t="shared" ca="1" si="9"/>
        <v>#N/A</v>
      </c>
      <c r="M47" s="17" t="e">
        <f t="shared" ca="1" si="9"/>
        <v>#N/A</v>
      </c>
      <c r="N47" s="17" t="e">
        <f t="shared" ca="1" si="9"/>
        <v>#N/A</v>
      </c>
      <c r="O47" s="17" t="e">
        <f t="shared" ca="1" si="9"/>
        <v>#N/A</v>
      </c>
      <c r="P47" s="17" t="e">
        <f t="shared" ca="1" si="9"/>
        <v>#N/A</v>
      </c>
      <c r="Q47" s="17" t="e">
        <f t="shared" ca="1" si="9"/>
        <v>#N/A</v>
      </c>
      <c r="R47" s="17" t="e">
        <f t="shared" ca="1" si="9"/>
        <v>#N/A</v>
      </c>
      <c r="S47" s="17" t="e">
        <f t="shared" ca="1" si="9"/>
        <v>#N/A</v>
      </c>
      <c r="T47" s="17" t="e">
        <f t="shared" ca="1" si="9"/>
        <v>#N/A</v>
      </c>
      <c r="U47" s="17" t="e">
        <f t="shared" ca="1" si="9"/>
        <v>#N/A</v>
      </c>
      <c r="V47" s="17" t="e">
        <f t="shared" ca="1" si="9"/>
        <v>#N/A</v>
      </c>
      <c r="W47" s="17" t="e">
        <f t="shared" ca="1" si="9"/>
        <v>#N/A</v>
      </c>
      <c r="X47" s="17" t="e">
        <f t="shared" ca="1" si="9"/>
        <v>#N/A</v>
      </c>
      <c r="Y47" s="17" t="e">
        <f t="shared" ca="1" si="9"/>
        <v>#N/A</v>
      </c>
      <c r="Z47" s="17" t="e">
        <f t="shared" ca="1" si="9"/>
        <v>#N/A</v>
      </c>
      <c r="AA47" s="17" t="e">
        <f t="shared" ca="1" si="9"/>
        <v>#N/A</v>
      </c>
      <c r="AB47" s="17" t="e">
        <f t="shared" ca="1" si="9"/>
        <v>#N/A</v>
      </c>
      <c r="AC47" s="17" t="e">
        <f t="shared" ca="1" si="9"/>
        <v>#N/A</v>
      </c>
      <c r="AD47" s="17" t="e">
        <f t="shared" ca="1" si="9"/>
        <v>#N/A</v>
      </c>
      <c r="AE47" s="17" t="e">
        <f t="shared" ca="1" si="9"/>
        <v>#N/A</v>
      </c>
      <c r="AF47" s="17" t="e">
        <f t="shared" ca="1" si="9"/>
        <v>#N/A</v>
      </c>
      <c r="AG47" s="17" t="e">
        <f t="shared" ca="1" si="9"/>
        <v>#N/A</v>
      </c>
      <c r="AH47" s="17" t="e">
        <f t="shared" ca="1" si="9"/>
        <v>#N/A</v>
      </c>
    </row>
    <row r="48" spans="1:35" x14ac:dyDescent="0.2">
      <c r="C48" s="17" t="e">
        <f t="shared" ca="1" si="6"/>
        <v>#N/A</v>
      </c>
      <c r="D48" s="17" t="e">
        <f ca="1">UPPER(INDEX(Activities[활동],MATCH($C48,Activities[Id],0)))</f>
        <v>#N/A</v>
      </c>
      <c r="E48" s="17" t="e">
        <f t="shared" ref="E48:AH48" ca="1" si="10">IF(ISERROR(F36),E36,NA())</f>
        <v>#N/A</v>
      </c>
      <c r="F48" s="17" t="e">
        <f t="shared" ca="1" si="10"/>
        <v>#N/A</v>
      </c>
      <c r="G48" s="17" t="e">
        <f t="shared" ca="1" si="10"/>
        <v>#N/A</v>
      </c>
      <c r="H48" s="17" t="e">
        <f t="shared" ca="1" si="10"/>
        <v>#N/A</v>
      </c>
      <c r="I48" s="17" t="e">
        <f t="shared" ca="1" si="10"/>
        <v>#N/A</v>
      </c>
      <c r="J48" s="17" t="e">
        <f t="shared" ca="1" si="10"/>
        <v>#N/A</v>
      </c>
      <c r="K48" s="17" t="e">
        <f t="shared" ca="1" si="10"/>
        <v>#N/A</v>
      </c>
      <c r="L48" s="17" t="e">
        <f t="shared" ca="1" si="10"/>
        <v>#N/A</v>
      </c>
      <c r="M48" s="17" t="e">
        <f t="shared" ca="1" si="10"/>
        <v>#N/A</v>
      </c>
      <c r="N48" s="17" t="e">
        <f t="shared" ca="1" si="10"/>
        <v>#N/A</v>
      </c>
      <c r="O48" s="17" t="e">
        <f t="shared" ca="1" si="10"/>
        <v>#N/A</v>
      </c>
      <c r="P48" s="17" t="e">
        <f t="shared" ca="1" si="10"/>
        <v>#N/A</v>
      </c>
      <c r="Q48" s="17" t="e">
        <f t="shared" ca="1" si="10"/>
        <v>#N/A</v>
      </c>
      <c r="R48" s="17" t="e">
        <f t="shared" ca="1" si="10"/>
        <v>#N/A</v>
      </c>
      <c r="S48" s="17" t="e">
        <f t="shared" ca="1" si="10"/>
        <v>#N/A</v>
      </c>
      <c r="T48" s="17" t="e">
        <f t="shared" ca="1" si="10"/>
        <v>#N/A</v>
      </c>
      <c r="U48" s="17" t="e">
        <f t="shared" ca="1" si="10"/>
        <v>#N/A</v>
      </c>
      <c r="V48" s="17" t="e">
        <f t="shared" ca="1" si="10"/>
        <v>#N/A</v>
      </c>
      <c r="W48" s="17" t="e">
        <f t="shared" ca="1" si="10"/>
        <v>#N/A</v>
      </c>
      <c r="X48" s="17" t="e">
        <f t="shared" ca="1" si="10"/>
        <v>#N/A</v>
      </c>
      <c r="Y48" s="17" t="e">
        <f t="shared" ca="1" si="10"/>
        <v>#N/A</v>
      </c>
      <c r="Z48" s="17" t="e">
        <f t="shared" ca="1" si="10"/>
        <v>#N/A</v>
      </c>
      <c r="AA48" s="17" t="e">
        <f t="shared" ca="1" si="10"/>
        <v>#N/A</v>
      </c>
      <c r="AB48" s="17" t="e">
        <f t="shared" ca="1" si="10"/>
        <v>#N/A</v>
      </c>
      <c r="AC48" s="17" t="e">
        <f t="shared" ca="1" si="10"/>
        <v>#N/A</v>
      </c>
      <c r="AD48" s="17" t="e">
        <f t="shared" ca="1" si="10"/>
        <v>#N/A</v>
      </c>
      <c r="AE48" s="17" t="e">
        <f t="shared" ca="1" si="10"/>
        <v>#N/A</v>
      </c>
      <c r="AF48" s="17" t="e">
        <f t="shared" ca="1" si="10"/>
        <v>#N/A</v>
      </c>
      <c r="AG48" s="17" t="e">
        <f t="shared" ca="1" si="10"/>
        <v>#N/A</v>
      </c>
      <c r="AH48" s="17" t="e">
        <f t="shared" ca="1" si="10"/>
        <v>#N/A</v>
      </c>
    </row>
    <row r="49" spans="3:34" x14ac:dyDescent="0.2">
      <c r="C49" s="17" t="e">
        <f t="shared" ca="1" si="6"/>
        <v>#N/A</v>
      </c>
      <c r="D49" s="17" t="e">
        <f ca="1">UPPER(INDEX(Activities[활동],MATCH($C49,Activities[Id],0)))</f>
        <v>#N/A</v>
      </c>
      <c r="E49" s="17" t="e">
        <f t="shared" ref="E49:AH49" ca="1" si="11">IF(ISERROR(F37),E37,NA())</f>
        <v>#N/A</v>
      </c>
      <c r="F49" s="17" t="e">
        <f t="shared" ca="1" si="11"/>
        <v>#N/A</v>
      </c>
      <c r="G49" s="17" t="e">
        <f t="shared" ca="1" si="11"/>
        <v>#N/A</v>
      </c>
      <c r="H49" s="17" t="e">
        <f t="shared" ca="1" si="11"/>
        <v>#N/A</v>
      </c>
      <c r="I49" s="17" t="e">
        <f t="shared" ca="1" si="11"/>
        <v>#N/A</v>
      </c>
      <c r="J49" s="17" t="e">
        <f t="shared" ca="1" si="11"/>
        <v>#N/A</v>
      </c>
      <c r="K49" s="17" t="e">
        <f t="shared" ca="1" si="11"/>
        <v>#N/A</v>
      </c>
      <c r="L49" s="17" t="e">
        <f t="shared" ca="1" si="11"/>
        <v>#N/A</v>
      </c>
      <c r="M49" s="17" t="e">
        <f t="shared" ca="1" si="11"/>
        <v>#N/A</v>
      </c>
      <c r="N49" s="17" t="e">
        <f t="shared" ca="1" si="11"/>
        <v>#N/A</v>
      </c>
      <c r="O49" s="17" t="e">
        <f t="shared" ca="1" si="11"/>
        <v>#N/A</v>
      </c>
      <c r="P49" s="17" t="e">
        <f t="shared" ca="1" si="11"/>
        <v>#N/A</v>
      </c>
      <c r="Q49" s="17" t="e">
        <f t="shared" ca="1" si="11"/>
        <v>#N/A</v>
      </c>
      <c r="R49" s="17" t="e">
        <f t="shared" ca="1" si="11"/>
        <v>#N/A</v>
      </c>
      <c r="S49" s="17" t="e">
        <f t="shared" ca="1" si="11"/>
        <v>#N/A</v>
      </c>
      <c r="T49" s="17" t="e">
        <f t="shared" ca="1" si="11"/>
        <v>#N/A</v>
      </c>
      <c r="U49" s="17" t="e">
        <f t="shared" ca="1" si="11"/>
        <v>#N/A</v>
      </c>
      <c r="V49" s="17" t="e">
        <f t="shared" ca="1" si="11"/>
        <v>#N/A</v>
      </c>
      <c r="W49" s="17" t="e">
        <f t="shared" ca="1" si="11"/>
        <v>#N/A</v>
      </c>
      <c r="X49" s="17" t="e">
        <f t="shared" ca="1" si="11"/>
        <v>#N/A</v>
      </c>
      <c r="Y49" s="17" t="e">
        <f t="shared" ca="1" si="11"/>
        <v>#N/A</v>
      </c>
      <c r="Z49" s="17" t="e">
        <f t="shared" ca="1" si="11"/>
        <v>#N/A</v>
      </c>
      <c r="AA49" s="17" t="e">
        <f t="shared" ca="1" si="11"/>
        <v>#N/A</v>
      </c>
      <c r="AB49" s="17" t="e">
        <f t="shared" ca="1" si="11"/>
        <v>#N/A</v>
      </c>
      <c r="AC49" s="17" t="e">
        <f t="shared" ca="1" si="11"/>
        <v>#N/A</v>
      </c>
      <c r="AD49" s="17" t="e">
        <f t="shared" ca="1" si="11"/>
        <v>#N/A</v>
      </c>
      <c r="AE49" s="17" t="e">
        <f t="shared" ca="1" si="11"/>
        <v>#N/A</v>
      </c>
      <c r="AF49" s="17" t="e">
        <f t="shared" ca="1" si="11"/>
        <v>#N/A</v>
      </c>
      <c r="AG49" s="17" t="e">
        <f t="shared" ca="1" si="11"/>
        <v>#N/A</v>
      </c>
      <c r="AH49" s="17" t="e">
        <f t="shared" ca="1" si="11"/>
        <v>#N/A</v>
      </c>
    </row>
    <row r="50" spans="3:34" x14ac:dyDescent="0.2">
      <c r="C50" s="17">
        <f t="shared" ca="1" si="6"/>
        <v>1</v>
      </c>
      <c r="D50" s="17" t="str">
        <f ca="1">UPPER(INDEX(Activities[활동],MATCH($C50,Activities[Id],0)))</f>
        <v>PDR</v>
      </c>
      <c r="E50" s="17" t="e">
        <f t="shared" ref="E50:AH50" ca="1" si="12">IF(ISERROR(F38),E38,NA())</f>
        <v>#N/A</v>
      </c>
      <c r="F50" s="17">
        <f t="shared" ca="1" si="12"/>
        <v>5.3000000000000007</v>
      </c>
      <c r="G50" s="17" t="e">
        <f t="shared" ca="1" si="12"/>
        <v>#N/A</v>
      </c>
      <c r="H50" s="17" t="e">
        <f t="shared" ca="1" si="12"/>
        <v>#N/A</v>
      </c>
      <c r="I50" s="17" t="e">
        <f t="shared" ca="1" si="12"/>
        <v>#N/A</v>
      </c>
      <c r="J50" s="17" t="e">
        <f t="shared" ca="1" si="12"/>
        <v>#N/A</v>
      </c>
      <c r="K50" s="17" t="e">
        <f t="shared" ca="1" si="12"/>
        <v>#N/A</v>
      </c>
      <c r="L50" s="17" t="e">
        <f t="shared" ca="1" si="12"/>
        <v>#N/A</v>
      </c>
      <c r="M50" s="17" t="e">
        <f t="shared" ca="1" si="12"/>
        <v>#N/A</v>
      </c>
      <c r="N50" s="17" t="e">
        <f t="shared" ca="1" si="12"/>
        <v>#N/A</v>
      </c>
      <c r="O50" s="17" t="e">
        <f t="shared" ca="1" si="12"/>
        <v>#N/A</v>
      </c>
      <c r="P50" s="17" t="e">
        <f t="shared" ca="1" si="12"/>
        <v>#N/A</v>
      </c>
      <c r="Q50" s="17" t="e">
        <f t="shared" ca="1" si="12"/>
        <v>#N/A</v>
      </c>
      <c r="R50" s="17" t="e">
        <f t="shared" ca="1" si="12"/>
        <v>#N/A</v>
      </c>
      <c r="S50" s="17" t="e">
        <f t="shared" ca="1" si="12"/>
        <v>#N/A</v>
      </c>
      <c r="T50" s="17" t="e">
        <f t="shared" ca="1" si="12"/>
        <v>#N/A</v>
      </c>
      <c r="U50" s="17" t="e">
        <f t="shared" ca="1" si="12"/>
        <v>#N/A</v>
      </c>
      <c r="V50" s="17" t="e">
        <f t="shared" ca="1" si="12"/>
        <v>#N/A</v>
      </c>
      <c r="W50" s="17" t="e">
        <f t="shared" ca="1" si="12"/>
        <v>#N/A</v>
      </c>
      <c r="X50" s="17" t="e">
        <f t="shared" ca="1" si="12"/>
        <v>#N/A</v>
      </c>
      <c r="Y50" s="17" t="e">
        <f t="shared" ca="1" si="12"/>
        <v>#N/A</v>
      </c>
      <c r="Z50" s="17" t="e">
        <f t="shared" ca="1" si="12"/>
        <v>#N/A</v>
      </c>
      <c r="AA50" s="17" t="e">
        <f t="shared" ca="1" si="12"/>
        <v>#N/A</v>
      </c>
      <c r="AB50" s="17" t="e">
        <f t="shared" ca="1" si="12"/>
        <v>#N/A</v>
      </c>
      <c r="AC50" s="17" t="e">
        <f t="shared" ca="1" si="12"/>
        <v>#N/A</v>
      </c>
      <c r="AD50" s="17" t="e">
        <f t="shared" ca="1" si="12"/>
        <v>#N/A</v>
      </c>
      <c r="AE50" s="17" t="e">
        <f t="shared" ca="1" si="12"/>
        <v>#N/A</v>
      </c>
      <c r="AF50" s="17" t="e">
        <f t="shared" ca="1" si="12"/>
        <v>#N/A</v>
      </c>
      <c r="AG50" s="17" t="e">
        <f t="shared" ca="1" si="12"/>
        <v>#N/A</v>
      </c>
      <c r="AH50" s="17" t="e">
        <f t="shared" ca="1" si="12"/>
        <v>#N/A</v>
      </c>
    </row>
    <row r="51" spans="3:34" x14ac:dyDescent="0.2">
      <c r="C51" s="17">
        <f t="shared" ca="1" si="6"/>
        <v>2</v>
      </c>
      <c r="D51" s="17" t="str">
        <f ca="1">UPPER(INDEX(Activities[활동],MATCH($C51,Activities[Id],0)))</f>
        <v>TRR</v>
      </c>
      <c r="E51" s="17" t="e">
        <f t="shared" ref="E51:AH51" ca="1" si="13">IF(ISERROR(F39),E39,NA())</f>
        <v>#N/A</v>
      </c>
      <c r="F51" s="17" t="e">
        <f t="shared" ca="1" si="13"/>
        <v>#N/A</v>
      </c>
      <c r="G51" s="17" t="e">
        <f t="shared" ca="1" si="13"/>
        <v>#N/A</v>
      </c>
      <c r="H51" s="17" t="e">
        <f t="shared" ca="1" si="13"/>
        <v>#N/A</v>
      </c>
      <c r="I51" s="17" t="e">
        <f t="shared" ca="1" si="13"/>
        <v>#N/A</v>
      </c>
      <c r="J51" s="17" t="e">
        <f t="shared" ca="1" si="13"/>
        <v>#N/A</v>
      </c>
      <c r="K51" s="17">
        <f t="shared" ca="1" si="13"/>
        <v>4.3000000000000007</v>
      </c>
      <c r="L51" s="17" t="e">
        <f t="shared" ca="1" si="13"/>
        <v>#N/A</v>
      </c>
      <c r="M51" s="17" t="e">
        <f t="shared" ca="1" si="13"/>
        <v>#N/A</v>
      </c>
      <c r="N51" s="17" t="e">
        <f t="shared" ca="1" si="13"/>
        <v>#N/A</v>
      </c>
      <c r="O51" s="17" t="e">
        <f t="shared" ca="1" si="13"/>
        <v>#N/A</v>
      </c>
      <c r="P51" s="17" t="e">
        <f t="shared" ca="1" si="13"/>
        <v>#N/A</v>
      </c>
      <c r="Q51" s="17" t="e">
        <f t="shared" ca="1" si="13"/>
        <v>#N/A</v>
      </c>
      <c r="R51" s="17" t="e">
        <f t="shared" ca="1" si="13"/>
        <v>#N/A</v>
      </c>
      <c r="S51" s="17" t="e">
        <f t="shared" ca="1" si="13"/>
        <v>#N/A</v>
      </c>
      <c r="T51" s="17" t="e">
        <f t="shared" ca="1" si="13"/>
        <v>#N/A</v>
      </c>
      <c r="U51" s="17" t="e">
        <f t="shared" ca="1" si="13"/>
        <v>#N/A</v>
      </c>
      <c r="V51" s="17" t="e">
        <f t="shared" ca="1" si="13"/>
        <v>#N/A</v>
      </c>
      <c r="W51" s="17" t="e">
        <f t="shared" ca="1" si="13"/>
        <v>#N/A</v>
      </c>
      <c r="X51" s="17" t="e">
        <f t="shared" ca="1" si="13"/>
        <v>#N/A</v>
      </c>
      <c r="Y51" s="17" t="e">
        <f t="shared" ca="1" si="13"/>
        <v>#N/A</v>
      </c>
      <c r="Z51" s="17" t="e">
        <f t="shared" ca="1" si="13"/>
        <v>#N/A</v>
      </c>
      <c r="AA51" s="17" t="e">
        <f t="shared" ca="1" si="13"/>
        <v>#N/A</v>
      </c>
      <c r="AB51" s="17" t="e">
        <f t="shared" ca="1" si="13"/>
        <v>#N/A</v>
      </c>
      <c r="AC51" s="17" t="e">
        <f t="shared" ca="1" si="13"/>
        <v>#N/A</v>
      </c>
      <c r="AD51" s="17" t="e">
        <f t="shared" ca="1" si="13"/>
        <v>#N/A</v>
      </c>
      <c r="AE51" s="17" t="e">
        <f t="shared" ca="1" si="13"/>
        <v>#N/A</v>
      </c>
      <c r="AF51" s="17" t="e">
        <f t="shared" ca="1" si="13"/>
        <v>#N/A</v>
      </c>
      <c r="AG51" s="17" t="e">
        <f t="shared" ca="1" si="13"/>
        <v>#N/A</v>
      </c>
      <c r="AH51" s="17" t="e">
        <f t="shared" ca="1" si="13"/>
        <v>#N/A</v>
      </c>
    </row>
    <row r="52" spans="3:34" x14ac:dyDescent="0.2">
      <c r="C52" s="17">
        <f t="shared" ca="1" si="6"/>
        <v>3</v>
      </c>
      <c r="D52" s="17" t="str">
        <f ca="1">UPPER(INDEX(Activities[활동],MATCH($C52,Activities[Id],0)))</f>
        <v>PRE-DESIGN STEP</v>
      </c>
      <c r="E52" s="17" t="e">
        <f t="shared" ref="E52:AH52" ca="1" si="14">IF(ISERROR(F40),E40,NA())</f>
        <v>#N/A</v>
      </c>
      <c r="F52" s="17" t="e">
        <f t="shared" ca="1" si="14"/>
        <v>#N/A</v>
      </c>
      <c r="G52" s="17" t="e">
        <f t="shared" ca="1" si="14"/>
        <v>#N/A</v>
      </c>
      <c r="H52" s="17" t="e">
        <f t="shared" ca="1" si="14"/>
        <v>#N/A</v>
      </c>
      <c r="I52" s="17" t="e">
        <f t="shared" ca="1" si="14"/>
        <v>#N/A</v>
      </c>
      <c r="J52" s="17" t="e">
        <f t="shared" ca="1" si="14"/>
        <v>#N/A</v>
      </c>
      <c r="K52" s="17" t="e">
        <f t="shared" ca="1" si="14"/>
        <v>#N/A</v>
      </c>
      <c r="L52" s="17" t="e">
        <f t="shared" ca="1" si="14"/>
        <v>#N/A</v>
      </c>
      <c r="M52" s="17" t="e">
        <f t="shared" ca="1" si="14"/>
        <v>#N/A</v>
      </c>
      <c r="N52" s="17" t="e">
        <f t="shared" ca="1" si="14"/>
        <v>#N/A</v>
      </c>
      <c r="O52" s="17" t="e">
        <f t="shared" ca="1" si="14"/>
        <v>#N/A</v>
      </c>
      <c r="P52" s="17" t="e">
        <f t="shared" ca="1" si="14"/>
        <v>#N/A</v>
      </c>
      <c r="Q52" s="17" t="e">
        <f t="shared" ca="1" si="14"/>
        <v>#N/A</v>
      </c>
      <c r="R52" s="17" t="e">
        <f t="shared" ca="1" si="14"/>
        <v>#N/A</v>
      </c>
      <c r="S52" s="17" t="e">
        <f t="shared" ca="1" si="14"/>
        <v>#N/A</v>
      </c>
      <c r="T52" s="17" t="e">
        <f t="shared" ca="1" si="14"/>
        <v>#N/A</v>
      </c>
      <c r="U52" s="17" t="e">
        <f t="shared" ca="1" si="14"/>
        <v>#N/A</v>
      </c>
      <c r="V52" s="17" t="e">
        <f t="shared" ca="1" si="14"/>
        <v>#N/A</v>
      </c>
      <c r="W52" s="17" t="e">
        <f t="shared" ca="1" si="14"/>
        <v>#N/A</v>
      </c>
      <c r="X52" s="17" t="e">
        <f t="shared" ca="1" si="14"/>
        <v>#N/A</v>
      </c>
      <c r="Y52" s="17" t="e">
        <f t="shared" ca="1" si="14"/>
        <v>#N/A</v>
      </c>
      <c r="Z52" s="17" t="e">
        <f t="shared" ca="1" si="14"/>
        <v>#N/A</v>
      </c>
      <c r="AA52" s="17" t="e">
        <f t="shared" ca="1" si="14"/>
        <v>#N/A</v>
      </c>
      <c r="AB52" s="17" t="e">
        <f t="shared" ca="1" si="14"/>
        <v>#N/A</v>
      </c>
      <c r="AC52" s="17" t="e">
        <f t="shared" ca="1" si="14"/>
        <v>#N/A</v>
      </c>
      <c r="AD52" s="17" t="e">
        <f t="shared" ca="1" si="14"/>
        <v>#N/A</v>
      </c>
      <c r="AE52" s="17" t="e">
        <f t="shared" ca="1" si="14"/>
        <v>#N/A</v>
      </c>
      <c r="AF52" s="17" t="e">
        <f t="shared" ca="1" si="14"/>
        <v>#N/A</v>
      </c>
      <c r="AG52" s="17" t="e">
        <f t="shared" ca="1" si="14"/>
        <v>#N/A</v>
      </c>
      <c r="AH52" s="17" t="e">
        <f t="shared" ca="1" si="14"/>
        <v>#N/A</v>
      </c>
    </row>
    <row r="55" spans="3:34" x14ac:dyDescent="0.2">
      <c r="E55" s="18">
        <f ca="1">E31</f>
        <v>44141</v>
      </c>
      <c r="F55" s="18">
        <f t="shared" ref="F55:AH55" ca="1" si="15">F31</f>
        <v>44142</v>
      </c>
      <c r="G55" s="18">
        <f t="shared" ca="1" si="15"/>
        <v>44143</v>
      </c>
      <c r="H55" s="18">
        <f t="shared" ca="1" si="15"/>
        <v>44144</v>
      </c>
      <c r="I55" s="18">
        <f t="shared" ca="1" si="15"/>
        <v>44145</v>
      </c>
      <c r="J55" s="18">
        <f t="shared" ca="1" si="15"/>
        <v>44146</v>
      </c>
      <c r="K55" s="18">
        <f t="shared" ca="1" si="15"/>
        <v>44147</v>
      </c>
      <c r="L55" s="18">
        <f t="shared" ca="1" si="15"/>
        <v>44148</v>
      </c>
      <c r="M55" s="18">
        <f t="shared" ca="1" si="15"/>
        <v>44149</v>
      </c>
      <c r="N55" s="18">
        <f t="shared" ca="1" si="15"/>
        <v>44150</v>
      </c>
      <c r="O55" s="18">
        <f t="shared" ca="1" si="15"/>
        <v>44151</v>
      </c>
      <c r="P55" s="18">
        <f t="shared" ca="1" si="15"/>
        <v>44152</v>
      </c>
      <c r="Q55" s="18">
        <f t="shared" ca="1" si="15"/>
        <v>44153</v>
      </c>
      <c r="R55" s="18">
        <f t="shared" ca="1" si="15"/>
        <v>44154</v>
      </c>
      <c r="S55" s="18">
        <f t="shared" ca="1" si="15"/>
        <v>44155</v>
      </c>
      <c r="T55" s="18">
        <f t="shared" ca="1" si="15"/>
        <v>44156</v>
      </c>
      <c r="U55" s="18">
        <f t="shared" ca="1" si="15"/>
        <v>44157</v>
      </c>
      <c r="V55" s="18">
        <f t="shared" ca="1" si="15"/>
        <v>44158</v>
      </c>
      <c r="W55" s="18">
        <f t="shared" ca="1" si="15"/>
        <v>44159</v>
      </c>
      <c r="X55" s="18">
        <f t="shared" ca="1" si="15"/>
        <v>44160</v>
      </c>
      <c r="Y55" s="18">
        <f t="shared" ca="1" si="15"/>
        <v>44161</v>
      </c>
      <c r="Z55" s="18">
        <f t="shared" ca="1" si="15"/>
        <v>44162</v>
      </c>
      <c r="AA55" s="18">
        <f t="shared" ca="1" si="15"/>
        <v>44163</v>
      </c>
      <c r="AB55" s="18">
        <f t="shared" ca="1" si="15"/>
        <v>44164</v>
      </c>
      <c r="AC55" s="18">
        <f t="shared" ca="1" si="15"/>
        <v>44165</v>
      </c>
      <c r="AD55" s="18">
        <f t="shared" ca="1" si="15"/>
        <v>44166</v>
      </c>
      <c r="AE55" s="18">
        <f t="shared" ca="1" si="15"/>
        <v>44167</v>
      </c>
      <c r="AF55" s="18">
        <f t="shared" ca="1" si="15"/>
        <v>44168</v>
      </c>
      <c r="AG55" s="18">
        <f t="shared" ca="1" si="15"/>
        <v>44169</v>
      </c>
      <c r="AH55" s="18">
        <f t="shared" ca="1" si="15"/>
        <v>44170</v>
      </c>
    </row>
    <row r="56" spans="3:34" x14ac:dyDescent="0.2">
      <c r="D56" s="17" t="s">
        <v>1</v>
      </c>
      <c r="E56" s="17" t="e">
        <f t="shared" ref="E56:AH56" ca="1" si="16">IF(E55=$D$3,5,NA())</f>
        <v>#N/A</v>
      </c>
      <c r="F56" s="17" t="e">
        <f t="shared" ca="1" si="16"/>
        <v>#N/A</v>
      </c>
      <c r="G56" s="17" t="e">
        <f t="shared" ca="1" si="16"/>
        <v>#N/A</v>
      </c>
      <c r="H56" s="17" t="e">
        <f t="shared" ca="1" si="16"/>
        <v>#N/A</v>
      </c>
      <c r="I56" s="17" t="e">
        <f t="shared" ca="1" si="16"/>
        <v>#N/A</v>
      </c>
      <c r="J56" s="17" t="e">
        <f t="shared" ca="1" si="16"/>
        <v>#N/A</v>
      </c>
      <c r="K56" s="17" t="e">
        <f t="shared" ca="1" si="16"/>
        <v>#N/A</v>
      </c>
      <c r="L56" s="17" t="e">
        <f t="shared" ca="1" si="16"/>
        <v>#N/A</v>
      </c>
      <c r="M56" s="17" t="e">
        <f t="shared" ca="1" si="16"/>
        <v>#N/A</v>
      </c>
      <c r="N56" s="17" t="e">
        <f t="shared" ca="1" si="16"/>
        <v>#N/A</v>
      </c>
      <c r="O56" s="17" t="e">
        <f t="shared" ca="1" si="16"/>
        <v>#N/A</v>
      </c>
      <c r="P56" s="17" t="e">
        <f t="shared" ca="1" si="16"/>
        <v>#N/A</v>
      </c>
      <c r="Q56" s="17" t="e">
        <f t="shared" ca="1" si="16"/>
        <v>#N/A</v>
      </c>
      <c r="R56" s="17" t="e">
        <f t="shared" ca="1" si="16"/>
        <v>#N/A</v>
      </c>
      <c r="S56" s="17" t="e">
        <f t="shared" ca="1" si="16"/>
        <v>#N/A</v>
      </c>
      <c r="T56" s="17" t="e">
        <f t="shared" ca="1" si="16"/>
        <v>#N/A</v>
      </c>
      <c r="U56" s="17" t="e">
        <f t="shared" ca="1" si="16"/>
        <v>#N/A</v>
      </c>
      <c r="V56" s="17" t="e">
        <f t="shared" ca="1" si="16"/>
        <v>#N/A</v>
      </c>
      <c r="W56" s="17" t="e">
        <f t="shared" ca="1" si="16"/>
        <v>#N/A</v>
      </c>
      <c r="X56" s="17" t="e">
        <f t="shared" ca="1" si="16"/>
        <v>#N/A</v>
      </c>
      <c r="Y56" s="17" t="e">
        <f t="shared" ca="1" si="16"/>
        <v>#N/A</v>
      </c>
      <c r="Z56" s="17" t="e">
        <f t="shared" ca="1" si="16"/>
        <v>#N/A</v>
      </c>
      <c r="AA56" s="17" t="e">
        <f t="shared" ca="1" si="16"/>
        <v>#N/A</v>
      </c>
      <c r="AB56" s="17" t="e">
        <f t="shared" ca="1" si="16"/>
        <v>#N/A</v>
      </c>
      <c r="AC56" s="17" t="e">
        <f t="shared" ca="1" si="16"/>
        <v>#N/A</v>
      </c>
      <c r="AD56" s="17" t="e">
        <f t="shared" ca="1" si="16"/>
        <v>#N/A</v>
      </c>
      <c r="AE56" s="17" t="e">
        <f t="shared" ca="1" si="16"/>
        <v>#N/A</v>
      </c>
      <c r="AF56" s="17" t="e">
        <f t="shared" ca="1" si="16"/>
        <v>#N/A</v>
      </c>
      <c r="AG56" s="17" t="e">
        <f t="shared" ca="1" si="16"/>
        <v>#N/A</v>
      </c>
      <c r="AH56" s="17" t="e">
        <f t="shared" ca="1" si="16"/>
        <v>#N/A</v>
      </c>
    </row>
    <row r="58" spans="3:34" x14ac:dyDescent="0.2">
      <c r="D58" s="20">
        <f ca="1">DATE(YEAR(MIN(E55:AH55)),MONTH(MIN(E55:AH55)),1)</f>
        <v>44136</v>
      </c>
      <c r="E58" s="17">
        <f ca="1">IF(MEDIAN($D58,E$55,EOMONTH($D58,0))=E$55,0.5,NA())</f>
        <v>0.5</v>
      </c>
      <c r="F58" s="17">
        <f t="shared" ref="F58:AH58" ca="1" si="17">IF(MEDIAN($D58,F$55,EOMONTH($D58,0))=F$55,0.5,NA())</f>
        <v>0.5</v>
      </c>
      <c r="G58" s="17">
        <f t="shared" ca="1" si="17"/>
        <v>0.5</v>
      </c>
      <c r="H58" s="17">
        <f t="shared" ca="1" si="17"/>
        <v>0.5</v>
      </c>
      <c r="I58" s="17">
        <f t="shared" ca="1" si="17"/>
        <v>0.5</v>
      </c>
      <c r="J58" s="17">
        <f t="shared" ca="1" si="17"/>
        <v>0.5</v>
      </c>
      <c r="K58" s="17">
        <f t="shared" ca="1" si="17"/>
        <v>0.5</v>
      </c>
      <c r="L58" s="17">
        <f t="shared" ca="1" si="17"/>
        <v>0.5</v>
      </c>
      <c r="M58" s="17">
        <f t="shared" ca="1" si="17"/>
        <v>0.5</v>
      </c>
      <c r="N58" s="17">
        <f t="shared" ca="1" si="17"/>
        <v>0.5</v>
      </c>
      <c r="O58" s="17">
        <f t="shared" ca="1" si="17"/>
        <v>0.5</v>
      </c>
      <c r="P58" s="17">
        <f t="shared" ca="1" si="17"/>
        <v>0.5</v>
      </c>
      <c r="Q58" s="17">
        <f t="shared" ca="1" si="17"/>
        <v>0.5</v>
      </c>
      <c r="R58" s="17">
        <f t="shared" ca="1" si="17"/>
        <v>0.5</v>
      </c>
      <c r="S58" s="17">
        <f t="shared" ca="1" si="17"/>
        <v>0.5</v>
      </c>
      <c r="T58" s="17">
        <f t="shared" ca="1" si="17"/>
        <v>0.5</v>
      </c>
      <c r="U58" s="17">
        <f t="shared" ca="1" si="17"/>
        <v>0.5</v>
      </c>
      <c r="V58" s="17">
        <f t="shared" ca="1" si="17"/>
        <v>0.5</v>
      </c>
      <c r="W58" s="17">
        <f t="shared" ca="1" si="17"/>
        <v>0.5</v>
      </c>
      <c r="X58" s="17">
        <f t="shared" ca="1" si="17"/>
        <v>0.5</v>
      </c>
      <c r="Y58" s="17">
        <f t="shared" ca="1" si="17"/>
        <v>0.5</v>
      </c>
      <c r="Z58" s="17">
        <f t="shared" ca="1" si="17"/>
        <v>0.5</v>
      </c>
      <c r="AA58" s="17">
        <f t="shared" ca="1" si="17"/>
        <v>0.5</v>
      </c>
      <c r="AB58" s="17">
        <f t="shared" ca="1" si="17"/>
        <v>0.5</v>
      </c>
      <c r="AC58" s="17">
        <f t="shared" ca="1" si="17"/>
        <v>0.5</v>
      </c>
      <c r="AD58" s="17" t="e">
        <f t="shared" ca="1" si="17"/>
        <v>#N/A</v>
      </c>
      <c r="AE58" s="17" t="e">
        <f t="shared" ca="1" si="17"/>
        <v>#N/A</v>
      </c>
      <c r="AF58" s="17" t="e">
        <f t="shared" ca="1" si="17"/>
        <v>#N/A</v>
      </c>
      <c r="AG58" s="17" t="e">
        <f t="shared" ca="1" si="17"/>
        <v>#N/A</v>
      </c>
      <c r="AH58" s="17" t="e">
        <f t="shared" ca="1" si="17"/>
        <v>#N/A</v>
      </c>
    </row>
    <row r="59" spans="3:34" x14ac:dyDescent="0.2">
      <c r="D59" s="20" t="str">
        <f ca="1">TEXT(D58,"yyyy년 M월") &amp; " - Top Band"</f>
        <v>2020년 11월 - Top Band</v>
      </c>
      <c r="E59" s="17">
        <f ca="1">E58+12.5</f>
        <v>13</v>
      </c>
      <c r="F59" s="17">
        <f t="shared" ref="F59:AH59" ca="1" si="18">F58+12.5</f>
        <v>13</v>
      </c>
      <c r="G59" s="17">
        <f t="shared" ca="1" si="18"/>
        <v>13</v>
      </c>
      <c r="H59" s="17">
        <f t="shared" ca="1" si="18"/>
        <v>13</v>
      </c>
      <c r="I59" s="17">
        <f t="shared" ca="1" si="18"/>
        <v>13</v>
      </c>
      <c r="J59" s="17">
        <f t="shared" ca="1" si="18"/>
        <v>13</v>
      </c>
      <c r="K59" s="17">
        <f t="shared" ca="1" si="18"/>
        <v>13</v>
      </c>
      <c r="L59" s="17">
        <f t="shared" ca="1" si="18"/>
        <v>13</v>
      </c>
      <c r="M59" s="17">
        <f t="shared" ca="1" si="18"/>
        <v>13</v>
      </c>
      <c r="N59" s="17">
        <f t="shared" ca="1" si="18"/>
        <v>13</v>
      </c>
      <c r="O59" s="17">
        <f t="shared" ca="1" si="18"/>
        <v>13</v>
      </c>
      <c r="P59" s="17">
        <f t="shared" ca="1" si="18"/>
        <v>13</v>
      </c>
      <c r="Q59" s="17">
        <f t="shared" ca="1" si="18"/>
        <v>13</v>
      </c>
      <c r="R59" s="17">
        <f t="shared" ca="1" si="18"/>
        <v>13</v>
      </c>
      <c r="S59" s="17">
        <f t="shared" ca="1" si="18"/>
        <v>13</v>
      </c>
      <c r="T59" s="17">
        <f t="shared" ca="1" si="18"/>
        <v>13</v>
      </c>
      <c r="U59" s="17">
        <f t="shared" ca="1" si="18"/>
        <v>13</v>
      </c>
      <c r="V59" s="17">
        <f t="shared" ca="1" si="18"/>
        <v>13</v>
      </c>
      <c r="W59" s="17">
        <f t="shared" ca="1" si="18"/>
        <v>13</v>
      </c>
      <c r="X59" s="17">
        <f t="shared" ca="1" si="18"/>
        <v>13</v>
      </c>
      <c r="Y59" s="17">
        <f t="shared" ca="1" si="18"/>
        <v>13</v>
      </c>
      <c r="Z59" s="17">
        <f t="shared" ca="1" si="18"/>
        <v>13</v>
      </c>
      <c r="AA59" s="17">
        <f t="shared" ca="1" si="18"/>
        <v>13</v>
      </c>
      <c r="AB59" s="17">
        <f t="shared" ca="1" si="18"/>
        <v>13</v>
      </c>
      <c r="AC59" s="17">
        <f t="shared" ca="1" si="18"/>
        <v>13</v>
      </c>
      <c r="AD59" s="17" t="e">
        <f t="shared" ca="1" si="18"/>
        <v>#N/A</v>
      </c>
      <c r="AE59" s="17" t="e">
        <f t="shared" ca="1" si="18"/>
        <v>#N/A</v>
      </c>
      <c r="AF59" s="17" t="e">
        <f t="shared" ca="1" si="18"/>
        <v>#N/A</v>
      </c>
      <c r="AG59" s="17" t="e">
        <f t="shared" ca="1" si="18"/>
        <v>#N/A</v>
      </c>
      <c r="AH59" s="17" t="e">
        <f t="shared" ca="1" si="18"/>
        <v>#N/A</v>
      </c>
    </row>
    <row r="60" spans="3:34" x14ac:dyDescent="0.2">
      <c r="D60" s="20"/>
    </row>
    <row r="61" spans="3:34" x14ac:dyDescent="0.2">
      <c r="D61" s="20">
        <f ca="1">EOMONTH(D58,0)+1</f>
        <v>44166</v>
      </c>
      <c r="E61" s="17" t="e">
        <f ca="1">IF(MEDIAN($D61,E$55,EOMONTH($D61,0))=E$55,0.5,NA())</f>
        <v>#N/A</v>
      </c>
      <c r="F61" s="17" t="e">
        <f t="shared" ref="F61:AH61" ca="1" si="19">IF(MEDIAN($D61,F$55,EOMONTH($D61,0))=F$55,0.5,NA())</f>
        <v>#N/A</v>
      </c>
      <c r="G61" s="17" t="e">
        <f t="shared" ca="1" si="19"/>
        <v>#N/A</v>
      </c>
      <c r="H61" s="17" t="e">
        <f t="shared" ca="1" si="19"/>
        <v>#N/A</v>
      </c>
      <c r="I61" s="17" t="e">
        <f t="shared" ca="1" si="19"/>
        <v>#N/A</v>
      </c>
      <c r="J61" s="17" t="e">
        <f t="shared" ca="1" si="19"/>
        <v>#N/A</v>
      </c>
      <c r="K61" s="17" t="e">
        <f t="shared" ca="1" si="19"/>
        <v>#N/A</v>
      </c>
      <c r="L61" s="17" t="e">
        <f t="shared" ca="1" si="19"/>
        <v>#N/A</v>
      </c>
      <c r="M61" s="17" t="e">
        <f t="shared" ca="1" si="19"/>
        <v>#N/A</v>
      </c>
      <c r="N61" s="17" t="e">
        <f t="shared" ca="1" si="19"/>
        <v>#N/A</v>
      </c>
      <c r="O61" s="17" t="e">
        <f t="shared" ca="1" si="19"/>
        <v>#N/A</v>
      </c>
      <c r="P61" s="17" t="e">
        <f t="shared" ca="1" si="19"/>
        <v>#N/A</v>
      </c>
      <c r="Q61" s="17" t="e">
        <f t="shared" ca="1" si="19"/>
        <v>#N/A</v>
      </c>
      <c r="R61" s="17" t="e">
        <f t="shared" ca="1" si="19"/>
        <v>#N/A</v>
      </c>
      <c r="S61" s="17" t="e">
        <f t="shared" ca="1" si="19"/>
        <v>#N/A</v>
      </c>
      <c r="T61" s="17" t="e">
        <f t="shared" ca="1" si="19"/>
        <v>#N/A</v>
      </c>
      <c r="U61" s="17" t="e">
        <f t="shared" ca="1" si="19"/>
        <v>#N/A</v>
      </c>
      <c r="V61" s="17" t="e">
        <f t="shared" ca="1" si="19"/>
        <v>#N/A</v>
      </c>
      <c r="W61" s="17" t="e">
        <f t="shared" ca="1" si="19"/>
        <v>#N/A</v>
      </c>
      <c r="X61" s="17" t="e">
        <f t="shared" ca="1" si="19"/>
        <v>#N/A</v>
      </c>
      <c r="Y61" s="17" t="e">
        <f t="shared" ca="1" si="19"/>
        <v>#N/A</v>
      </c>
      <c r="Z61" s="17" t="e">
        <f t="shared" ca="1" si="19"/>
        <v>#N/A</v>
      </c>
      <c r="AA61" s="17" t="e">
        <f t="shared" ca="1" si="19"/>
        <v>#N/A</v>
      </c>
      <c r="AB61" s="17" t="e">
        <f t="shared" ca="1" si="19"/>
        <v>#N/A</v>
      </c>
      <c r="AC61" s="17" t="e">
        <f t="shared" ca="1" si="19"/>
        <v>#N/A</v>
      </c>
      <c r="AD61" s="17">
        <f t="shared" ca="1" si="19"/>
        <v>0.5</v>
      </c>
      <c r="AE61" s="17">
        <f t="shared" ca="1" si="19"/>
        <v>0.5</v>
      </c>
      <c r="AF61" s="17">
        <f t="shared" ca="1" si="19"/>
        <v>0.5</v>
      </c>
      <c r="AG61" s="17">
        <f t="shared" ca="1" si="19"/>
        <v>0.5</v>
      </c>
      <c r="AH61" s="17">
        <f t="shared" ca="1" si="19"/>
        <v>0.5</v>
      </c>
    </row>
    <row r="62" spans="3:34" x14ac:dyDescent="0.2">
      <c r="D62" s="20" t="str">
        <f ca="1">TEXT(D61,"yyyy년 M월") &amp; " - Top Band"</f>
        <v>2020년 12월 - Top Band</v>
      </c>
      <c r="E62" s="17" t="e">
        <f ca="1">E61+12.5</f>
        <v>#N/A</v>
      </c>
      <c r="F62" s="17" t="e">
        <f t="shared" ref="F62:AH62" ca="1" si="20">F61+12.5</f>
        <v>#N/A</v>
      </c>
      <c r="G62" s="17" t="e">
        <f t="shared" ca="1" si="20"/>
        <v>#N/A</v>
      </c>
      <c r="H62" s="17" t="e">
        <f t="shared" ca="1" si="20"/>
        <v>#N/A</v>
      </c>
      <c r="I62" s="17" t="e">
        <f t="shared" ca="1" si="20"/>
        <v>#N/A</v>
      </c>
      <c r="J62" s="17" t="e">
        <f t="shared" ca="1" si="20"/>
        <v>#N/A</v>
      </c>
      <c r="K62" s="17" t="e">
        <f t="shared" ca="1" si="20"/>
        <v>#N/A</v>
      </c>
      <c r="L62" s="17" t="e">
        <f t="shared" ca="1" si="20"/>
        <v>#N/A</v>
      </c>
      <c r="M62" s="17" t="e">
        <f t="shared" ca="1" si="20"/>
        <v>#N/A</v>
      </c>
      <c r="N62" s="17" t="e">
        <f t="shared" ca="1" si="20"/>
        <v>#N/A</v>
      </c>
      <c r="O62" s="17" t="e">
        <f t="shared" ca="1" si="20"/>
        <v>#N/A</v>
      </c>
      <c r="P62" s="17" t="e">
        <f t="shared" ca="1" si="20"/>
        <v>#N/A</v>
      </c>
      <c r="Q62" s="17" t="e">
        <f t="shared" ca="1" si="20"/>
        <v>#N/A</v>
      </c>
      <c r="R62" s="17" t="e">
        <f t="shared" ca="1" si="20"/>
        <v>#N/A</v>
      </c>
      <c r="S62" s="17" t="e">
        <f t="shared" ca="1" si="20"/>
        <v>#N/A</v>
      </c>
      <c r="T62" s="17" t="e">
        <f t="shared" ca="1" si="20"/>
        <v>#N/A</v>
      </c>
      <c r="U62" s="17" t="e">
        <f t="shared" ca="1" si="20"/>
        <v>#N/A</v>
      </c>
      <c r="V62" s="17" t="e">
        <f t="shared" ca="1" si="20"/>
        <v>#N/A</v>
      </c>
      <c r="W62" s="17" t="e">
        <f t="shared" ca="1" si="20"/>
        <v>#N/A</v>
      </c>
      <c r="X62" s="17" t="e">
        <f t="shared" ca="1" si="20"/>
        <v>#N/A</v>
      </c>
      <c r="Y62" s="17" t="e">
        <f t="shared" ca="1" si="20"/>
        <v>#N/A</v>
      </c>
      <c r="Z62" s="17" t="e">
        <f t="shared" ca="1" si="20"/>
        <v>#N/A</v>
      </c>
      <c r="AA62" s="17" t="e">
        <f t="shared" ca="1" si="20"/>
        <v>#N/A</v>
      </c>
      <c r="AB62" s="17" t="e">
        <f t="shared" ca="1" si="20"/>
        <v>#N/A</v>
      </c>
      <c r="AC62" s="17" t="e">
        <f t="shared" ca="1" si="20"/>
        <v>#N/A</v>
      </c>
      <c r="AD62" s="17">
        <f t="shared" ca="1" si="20"/>
        <v>13</v>
      </c>
      <c r="AE62" s="17">
        <f t="shared" ca="1" si="20"/>
        <v>13</v>
      </c>
      <c r="AF62" s="17">
        <f t="shared" ca="1" si="20"/>
        <v>13</v>
      </c>
      <c r="AG62" s="17">
        <f t="shared" ca="1" si="20"/>
        <v>13</v>
      </c>
      <c r="AH62" s="17">
        <f t="shared" ca="1" si="20"/>
        <v>13</v>
      </c>
    </row>
    <row r="63" spans="3:34" x14ac:dyDescent="0.2">
      <c r="D63" s="20"/>
    </row>
    <row r="65" spans="4:34" x14ac:dyDescent="0.2">
      <c r="D65" s="21">
        <f ca="1">D58+1</f>
        <v>44137</v>
      </c>
      <c r="E65" s="17" t="e">
        <f ca="1">IF(MEDIAN($D65,E$55)=E$55,0.5,NA())</f>
        <v>#N/A</v>
      </c>
      <c r="F65" s="17" t="e">
        <f t="shared" ref="F65:AH66" ca="1" si="21">IF(MEDIAN($D65,F$55)=F$55,0.5,NA())</f>
        <v>#N/A</v>
      </c>
      <c r="G65" s="17" t="e">
        <f t="shared" ca="1" si="21"/>
        <v>#N/A</v>
      </c>
      <c r="H65" s="17" t="e">
        <f t="shared" ca="1" si="21"/>
        <v>#N/A</v>
      </c>
      <c r="I65" s="17" t="e">
        <f t="shared" ca="1" si="21"/>
        <v>#N/A</v>
      </c>
      <c r="J65" s="17" t="e">
        <f t="shared" ca="1" si="21"/>
        <v>#N/A</v>
      </c>
      <c r="K65" s="17" t="e">
        <f t="shared" ca="1" si="21"/>
        <v>#N/A</v>
      </c>
      <c r="L65" s="17" t="e">
        <f t="shared" ca="1" si="21"/>
        <v>#N/A</v>
      </c>
      <c r="M65" s="17" t="e">
        <f t="shared" ca="1" si="21"/>
        <v>#N/A</v>
      </c>
      <c r="N65" s="17" t="e">
        <f t="shared" ca="1" si="21"/>
        <v>#N/A</v>
      </c>
      <c r="O65" s="17" t="e">
        <f t="shared" ca="1" si="21"/>
        <v>#N/A</v>
      </c>
      <c r="P65" s="17" t="e">
        <f t="shared" ca="1" si="21"/>
        <v>#N/A</v>
      </c>
      <c r="Q65" s="17" t="e">
        <f t="shared" ca="1" si="21"/>
        <v>#N/A</v>
      </c>
      <c r="R65" s="17" t="e">
        <f t="shared" ca="1" si="21"/>
        <v>#N/A</v>
      </c>
      <c r="S65" s="17" t="e">
        <f t="shared" ca="1" si="21"/>
        <v>#N/A</v>
      </c>
      <c r="T65" s="17" t="e">
        <f t="shared" ca="1" si="21"/>
        <v>#N/A</v>
      </c>
      <c r="U65" s="17" t="e">
        <f t="shared" ca="1" si="21"/>
        <v>#N/A</v>
      </c>
      <c r="V65" s="17" t="e">
        <f t="shared" ca="1" si="21"/>
        <v>#N/A</v>
      </c>
      <c r="W65" s="17" t="e">
        <f t="shared" ca="1" si="21"/>
        <v>#N/A</v>
      </c>
      <c r="X65" s="17" t="e">
        <f t="shared" ca="1" si="21"/>
        <v>#N/A</v>
      </c>
      <c r="Y65" s="17" t="e">
        <f t="shared" ca="1" si="21"/>
        <v>#N/A</v>
      </c>
      <c r="Z65" s="17" t="e">
        <f t="shared" ca="1" si="21"/>
        <v>#N/A</v>
      </c>
      <c r="AA65" s="17" t="e">
        <f t="shared" ca="1" si="21"/>
        <v>#N/A</v>
      </c>
      <c r="AB65" s="17" t="e">
        <f t="shared" ca="1" si="21"/>
        <v>#N/A</v>
      </c>
      <c r="AC65" s="17" t="e">
        <f t="shared" ca="1" si="21"/>
        <v>#N/A</v>
      </c>
      <c r="AD65" s="17" t="e">
        <f t="shared" ca="1" si="21"/>
        <v>#N/A</v>
      </c>
      <c r="AE65" s="17" t="e">
        <f t="shared" ca="1" si="21"/>
        <v>#N/A</v>
      </c>
      <c r="AF65" s="17" t="e">
        <f t="shared" ca="1" si="21"/>
        <v>#N/A</v>
      </c>
      <c r="AG65" s="17" t="e">
        <f t="shared" ca="1" si="21"/>
        <v>#N/A</v>
      </c>
      <c r="AH65" s="17" t="e">
        <f t="shared" ca="1" si="21"/>
        <v>#N/A</v>
      </c>
    </row>
    <row r="66" spans="4:34" x14ac:dyDescent="0.2">
      <c r="D66" s="21">
        <f ca="1">D61+1</f>
        <v>44167</v>
      </c>
      <c r="E66" s="17" t="e">
        <f ca="1">IF(MEDIAN($D66,E$55)=E$55,0.5,NA())</f>
        <v>#N/A</v>
      </c>
      <c r="F66" s="17" t="e">
        <f t="shared" ca="1" si="21"/>
        <v>#N/A</v>
      </c>
      <c r="G66" s="17" t="e">
        <f t="shared" ca="1" si="21"/>
        <v>#N/A</v>
      </c>
      <c r="H66" s="17" t="e">
        <f t="shared" ca="1" si="21"/>
        <v>#N/A</v>
      </c>
      <c r="I66" s="17" t="e">
        <f t="shared" ca="1" si="21"/>
        <v>#N/A</v>
      </c>
      <c r="J66" s="17" t="e">
        <f t="shared" ca="1" si="21"/>
        <v>#N/A</v>
      </c>
      <c r="K66" s="17" t="e">
        <f t="shared" ca="1" si="21"/>
        <v>#N/A</v>
      </c>
      <c r="L66" s="17" t="e">
        <f t="shared" ca="1" si="21"/>
        <v>#N/A</v>
      </c>
      <c r="M66" s="17" t="e">
        <f t="shared" ca="1" si="21"/>
        <v>#N/A</v>
      </c>
      <c r="N66" s="17" t="e">
        <f t="shared" ca="1" si="21"/>
        <v>#N/A</v>
      </c>
      <c r="O66" s="17" t="e">
        <f t="shared" ca="1" si="21"/>
        <v>#N/A</v>
      </c>
      <c r="P66" s="17" t="e">
        <f t="shared" ca="1" si="21"/>
        <v>#N/A</v>
      </c>
      <c r="Q66" s="17" t="e">
        <f t="shared" ca="1" si="21"/>
        <v>#N/A</v>
      </c>
      <c r="R66" s="17" t="e">
        <f t="shared" ca="1" si="21"/>
        <v>#N/A</v>
      </c>
      <c r="S66" s="17" t="e">
        <f t="shared" ca="1" si="21"/>
        <v>#N/A</v>
      </c>
      <c r="T66" s="17" t="e">
        <f t="shared" ca="1" si="21"/>
        <v>#N/A</v>
      </c>
      <c r="U66" s="17" t="e">
        <f t="shared" ca="1" si="21"/>
        <v>#N/A</v>
      </c>
      <c r="V66" s="17" t="e">
        <f t="shared" ca="1" si="21"/>
        <v>#N/A</v>
      </c>
      <c r="W66" s="17" t="e">
        <f t="shared" ca="1" si="21"/>
        <v>#N/A</v>
      </c>
      <c r="X66" s="17" t="e">
        <f t="shared" ca="1" si="21"/>
        <v>#N/A</v>
      </c>
      <c r="Y66" s="17" t="e">
        <f t="shared" ca="1" si="21"/>
        <v>#N/A</v>
      </c>
      <c r="Z66" s="17" t="e">
        <f t="shared" ca="1" si="21"/>
        <v>#N/A</v>
      </c>
      <c r="AA66" s="17" t="e">
        <f t="shared" ca="1" si="21"/>
        <v>#N/A</v>
      </c>
      <c r="AB66" s="17" t="e">
        <f t="shared" ca="1" si="21"/>
        <v>#N/A</v>
      </c>
      <c r="AC66" s="17" t="e">
        <f t="shared" ca="1" si="21"/>
        <v>#N/A</v>
      </c>
      <c r="AD66" s="17" t="e">
        <f t="shared" ca="1" si="21"/>
        <v>#N/A</v>
      </c>
      <c r="AE66" s="17">
        <f t="shared" ca="1" si="21"/>
        <v>0.5</v>
      </c>
      <c r="AF66" s="17" t="e">
        <f t="shared" ca="1" si="21"/>
        <v>#N/A</v>
      </c>
      <c r="AG66" s="17" t="e">
        <f t="shared" ca="1" si="21"/>
        <v>#N/A</v>
      </c>
      <c r="AH66" s="17" t="e">
        <f t="shared" ca="1" si="21"/>
        <v>#N/A</v>
      </c>
    </row>
    <row r="69" spans="4:34" x14ac:dyDescent="0.2">
      <c r="E69" s="17">
        <v>2.2999999999999998</v>
      </c>
      <c r="F69" s="17">
        <f>E69</f>
        <v>2.2999999999999998</v>
      </c>
      <c r="G69" s="17">
        <f t="shared" ref="G69:AH71" si="22">F69</f>
        <v>2.2999999999999998</v>
      </c>
      <c r="H69" s="17">
        <f t="shared" si="22"/>
        <v>2.2999999999999998</v>
      </c>
      <c r="I69" s="17">
        <f t="shared" si="22"/>
        <v>2.2999999999999998</v>
      </c>
      <c r="J69" s="17">
        <f t="shared" si="22"/>
        <v>2.2999999999999998</v>
      </c>
      <c r="K69" s="17">
        <f t="shared" si="22"/>
        <v>2.2999999999999998</v>
      </c>
      <c r="L69" s="17">
        <f t="shared" si="22"/>
        <v>2.2999999999999998</v>
      </c>
      <c r="M69" s="17">
        <f t="shared" si="22"/>
        <v>2.2999999999999998</v>
      </c>
      <c r="N69" s="17">
        <f t="shared" si="22"/>
        <v>2.2999999999999998</v>
      </c>
      <c r="O69" s="17">
        <f t="shared" si="22"/>
        <v>2.2999999999999998</v>
      </c>
      <c r="P69" s="17">
        <f t="shared" si="22"/>
        <v>2.2999999999999998</v>
      </c>
      <c r="Q69" s="17">
        <f t="shared" si="22"/>
        <v>2.2999999999999998</v>
      </c>
      <c r="R69" s="17">
        <f t="shared" si="22"/>
        <v>2.2999999999999998</v>
      </c>
      <c r="S69" s="17">
        <f t="shared" si="22"/>
        <v>2.2999999999999998</v>
      </c>
      <c r="T69" s="17">
        <f t="shared" si="22"/>
        <v>2.2999999999999998</v>
      </c>
      <c r="U69" s="17">
        <f t="shared" si="22"/>
        <v>2.2999999999999998</v>
      </c>
      <c r="V69" s="17">
        <f t="shared" si="22"/>
        <v>2.2999999999999998</v>
      </c>
      <c r="W69" s="17">
        <f t="shared" si="22"/>
        <v>2.2999999999999998</v>
      </c>
      <c r="X69" s="17">
        <f t="shared" si="22"/>
        <v>2.2999999999999998</v>
      </c>
      <c r="Y69" s="17">
        <f t="shared" si="22"/>
        <v>2.2999999999999998</v>
      </c>
      <c r="Z69" s="17">
        <f t="shared" si="22"/>
        <v>2.2999999999999998</v>
      </c>
      <c r="AA69" s="17">
        <f t="shared" si="22"/>
        <v>2.2999999999999998</v>
      </c>
      <c r="AB69" s="17">
        <f t="shared" si="22"/>
        <v>2.2999999999999998</v>
      </c>
      <c r="AC69" s="17">
        <f t="shared" si="22"/>
        <v>2.2999999999999998</v>
      </c>
      <c r="AD69" s="17">
        <f t="shared" si="22"/>
        <v>2.2999999999999998</v>
      </c>
      <c r="AE69" s="17">
        <f t="shared" si="22"/>
        <v>2.2999999999999998</v>
      </c>
      <c r="AF69" s="17">
        <f t="shared" si="22"/>
        <v>2.2999999999999998</v>
      </c>
      <c r="AG69" s="17">
        <f t="shared" si="22"/>
        <v>2.2999999999999998</v>
      </c>
      <c r="AH69" s="17">
        <f t="shared" si="22"/>
        <v>2.2999999999999998</v>
      </c>
    </row>
    <row r="70" spans="4:34" x14ac:dyDescent="0.2">
      <c r="D70" s="17">
        <v>3</v>
      </c>
      <c r="E70" s="17" t="str">
        <f t="shared" ref="E70:AH70" ca="1" si="23">LEFT(UPPER(TEXT(E55,"[$-412]ddd")),$D70)</f>
        <v>금</v>
      </c>
      <c r="F70" s="17" t="str">
        <f t="shared" ca="1" si="23"/>
        <v>토</v>
      </c>
      <c r="G70" s="17" t="str">
        <f t="shared" ca="1" si="23"/>
        <v>일</v>
      </c>
      <c r="H70" s="17" t="str">
        <f t="shared" ca="1" si="23"/>
        <v>월</v>
      </c>
      <c r="I70" s="17" t="str">
        <f t="shared" ca="1" si="23"/>
        <v>화</v>
      </c>
      <c r="J70" s="17" t="str">
        <f t="shared" ca="1" si="23"/>
        <v>수</v>
      </c>
      <c r="K70" s="17" t="str">
        <f t="shared" ca="1" si="23"/>
        <v>목</v>
      </c>
      <c r="L70" s="17" t="str">
        <f t="shared" ca="1" si="23"/>
        <v>금</v>
      </c>
      <c r="M70" s="17" t="str">
        <f t="shared" ca="1" si="23"/>
        <v>토</v>
      </c>
      <c r="N70" s="17" t="str">
        <f t="shared" ca="1" si="23"/>
        <v>일</v>
      </c>
      <c r="O70" s="17" t="str">
        <f t="shared" ca="1" si="23"/>
        <v>월</v>
      </c>
      <c r="P70" s="17" t="str">
        <f t="shared" ca="1" si="23"/>
        <v>화</v>
      </c>
      <c r="Q70" s="17" t="str">
        <f t="shared" ca="1" si="23"/>
        <v>수</v>
      </c>
      <c r="R70" s="17" t="str">
        <f t="shared" ca="1" si="23"/>
        <v>목</v>
      </c>
      <c r="S70" s="17" t="str">
        <f t="shared" ca="1" si="23"/>
        <v>금</v>
      </c>
      <c r="T70" s="17" t="str">
        <f t="shared" ca="1" si="23"/>
        <v>토</v>
      </c>
      <c r="U70" s="17" t="str">
        <f t="shared" ca="1" si="23"/>
        <v>일</v>
      </c>
      <c r="V70" s="17" t="str">
        <f t="shared" ca="1" si="23"/>
        <v>월</v>
      </c>
      <c r="W70" s="17" t="str">
        <f t="shared" ca="1" si="23"/>
        <v>화</v>
      </c>
      <c r="X70" s="17" t="str">
        <f t="shared" ca="1" si="23"/>
        <v>수</v>
      </c>
      <c r="Y70" s="17" t="str">
        <f t="shared" ca="1" si="23"/>
        <v>목</v>
      </c>
      <c r="Z70" s="17" t="str">
        <f t="shared" ca="1" si="23"/>
        <v>금</v>
      </c>
      <c r="AA70" s="17" t="str">
        <f t="shared" ca="1" si="23"/>
        <v>토</v>
      </c>
      <c r="AB70" s="17" t="str">
        <f t="shared" ca="1" si="23"/>
        <v>일</v>
      </c>
      <c r="AC70" s="17" t="str">
        <f t="shared" ca="1" si="23"/>
        <v>월</v>
      </c>
      <c r="AD70" s="17" t="str">
        <f t="shared" ca="1" si="23"/>
        <v>화</v>
      </c>
      <c r="AE70" s="17" t="str">
        <f t="shared" ca="1" si="23"/>
        <v>수</v>
      </c>
      <c r="AF70" s="17" t="str">
        <f t="shared" ca="1" si="23"/>
        <v>목</v>
      </c>
      <c r="AG70" s="17" t="str">
        <f t="shared" ca="1" si="23"/>
        <v>금</v>
      </c>
      <c r="AH70" s="17" t="str">
        <f t="shared" ca="1" si="23"/>
        <v>토</v>
      </c>
    </row>
    <row r="71" spans="4:34" x14ac:dyDescent="0.2">
      <c r="E71" s="17">
        <v>1.2</v>
      </c>
      <c r="F71" s="17">
        <f>E71</f>
        <v>1.2</v>
      </c>
      <c r="G71" s="17">
        <f t="shared" si="22"/>
        <v>1.2</v>
      </c>
      <c r="H71" s="17">
        <f t="shared" si="22"/>
        <v>1.2</v>
      </c>
      <c r="I71" s="17">
        <f t="shared" si="22"/>
        <v>1.2</v>
      </c>
      <c r="J71" s="17">
        <f t="shared" si="22"/>
        <v>1.2</v>
      </c>
      <c r="K71" s="17">
        <f t="shared" si="22"/>
        <v>1.2</v>
      </c>
      <c r="L71" s="17">
        <f t="shared" si="22"/>
        <v>1.2</v>
      </c>
      <c r="M71" s="17">
        <f t="shared" si="22"/>
        <v>1.2</v>
      </c>
      <c r="N71" s="17">
        <f t="shared" si="22"/>
        <v>1.2</v>
      </c>
      <c r="O71" s="17">
        <f t="shared" si="22"/>
        <v>1.2</v>
      </c>
      <c r="P71" s="17">
        <f t="shared" si="22"/>
        <v>1.2</v>
      </c>
      <c r="Q71" s="17">
        <f t="shared" si="22"/>
        <v>1.2</v>
      </c>
      <c r="R71" s="17">
        <f t="shared" si="22"/>
        <v>1.2</v>
      </c>
      <c r="S71" s="17">
        <f t="shared" si="22"/>
        <v>1.2</v>
      </c>
      <c r="T71" s="17">
        <f t="shared" si="22"/>
        <v>1.2</v>
      </c>
      <c r="U71" s="17">
        <f t="shared" si="22"/>
        <v>1.2</v>
      </c>
      <c r="V71" s="17">
        <f t="shared" si="22"/>
        <v>1.2</v>
      </c>
      <c r="W71" s="17">
        <f t="shared" si="22"/>
        <v>1.2</v>
      </c>
      <c r="X71" s="17">
        <f t="shared" si="22"/>
        <v>1.2</v>
      </c>
      <c r="Y71" s="17">
        <f t="shared" si="22"/>
        <v>1.2</v>
      </c>
      <c r="Z71" s="17">
        <f t="shared" si="22"/>
        <v>1.2</v>
      </c>
      <c r="AA71" s="17">
        <f t="shared" si="22"/>
        <v>1.2</v>
      </c>
      <c r="AB71" s="17">
        <f t="shared" si="22"/>
        <v>1.2</v>
      </c>
      <c r="AC71" s="17">
        <f t="shared" si="22"/>
        <v>1.2</v>
      </c>
      <c r="AD71" s="17">
        <f t="shared" si="22"/>
        <v>1.2</v>
      </c>
      <c r="AE71" s="17">
        <f t="shared" si="22"/>
        <v>1.2</v>
      </c>
      <c r="AF71" s="17">
        <f t="shared" si="22"/>
        <v>1.2</v>
      </c>
      <c r="AG71" s="17">
        <f t="shared" si="22"/>
        <v>1.2</v>
      </c>
      <c r="AH71" s="17">
        <f t="shared" si="22"/>
        <v>1.2</v>
      </c>
    </row>
    <row r="72" spans="4:34" x14ac:dyDescent="0.2">
      <c r="E72" s="17" t="str">
        <f ca="1">TEXT(E55,"dd")</f>
        <v>06</v>
      </c>
      <c r="F72" s="17" t="str">
        <f t="shared" ref="F72:AH72" ca="1" si="24">TEXT(F55,"dd")</f>
        <v>07</v>
      </c>
      <c r="G72" s="17" t="str">
        <f t="shared" ca="1" si="24"/>
        <v>08</v>
      </c>
      <c r="H72" s="17" t="str">
        <f t="shared" ca="1" si="24"/>
        <v>09</v>
      </c>
      <c r="I72" s="17" t="str">
        <f t="shared" ca="1" si="24"/>
        <v>10</v>
      </c>
      <c r="J72" s="17" t="str">
        <f t="shared" ca="1" si="24"/>
        <v>11</v>
      </c>
      <c r="K72" s="17" t="str">
        <f t="shared" ca="1" si="24"/>
        <v>12</v>
      </c>
      <c r="L72" s="17" t="str">
        <f t="shared" ca="1" si="24"/>
        <v>13</v>
      </c>
      <c r="M72" s="17" t="str">
        <f t="shared" ca="1" si="24"/>
        <v>14</v>
      </c>
      <c r="N72" s="17" t="str">
        <f t="shared" ca="1" si="24"/>
        <v>15</v>
      </c>
      <c r="O72" s="17" t="str">
        <f t="shared" ca="1" si="24"/>
        <v>16</v>
      </c>
      <c r="P72" s="17" t="str">
        <f t="shared" ca="1" si="24"/>
        <v>17</v>
      </c>
      <c r="Q72" s="17" t="str">
        <f t="shared" ca="1" si="24"/>
        <v>18</v>
      </c>
      <c r="R72" s="17" t="str">
        <f t="shared" ca="1" si="24"/>
        <v>19</v>
      </c>
      <c r="S72" s="17" t="str">
        <f t="shared" ca="1" si="24"/>
        <v>20</v>
      </c>
      <c r="T72" s="17" t="str">
        <f t="shared" ca="1" si="24"/>
        <v>21</v>
      </c>
      <c r="U72" s="17" t="str">
        <f t="shared" ca="1" si="24"/>
        <v>22</v>
      </c>
      <c r="V72" s="17" t="str">
        <f t="shared" ca="1" si="24"/>
        <v>23</v>
      </c>
      <c r="W72" s="17" t="str">
        <f t="shared" ca="1" si="24"/>
        <v>24</v>
      </c>
      <c r="X72" s="17" t="str">
        <f t="shared" ca="1" si="24"/>
        <v>25</v>
      </c>
      <c r="Y72" s="17" t="str">
        <f t="shared" ca="1" si="24"/>
        <v>26</v>
      </c>
      <c r="Z72" s="17" t="str">
        <f t="shared" ca="1" si="24"/>
        <v>27</v>
      </c>
      <c r="AA72" s="17" t="str">
        <f t="shared" ca="1" si="24"/>
        <v>28</v>
      </c>
      <c r="AB72" s="17" t="str">
        <f t="shared" ca="1" si="24"/>
        <v>29</v>
      </c>
      <c r="AC72" s="17" t="str">
        <f t="shared" ca="1" si="24"/>
        <v>30</v>
      </c>
      <c r="AD72" s="17" t="str">
        <f t="shared" ca="1" si="24"/>
        <v>01</v>
      </c>
      <c r="AE72" s="17" t="str">
        <f t="shared" ca="1" si="24"/>
        <v>02</v>
      </c>
      <c r="AF72" s="17" t="str">
        <f t="shared" ca="1" si="24"/>
        <v>03</v>
      </c>
      <c r="AG72" s="17" t="str">
        <f t="shared" ca="1" si="24"/>
        <v>04</v>
      </c>
      <c r="AH72" s="17" t="str">
        <f t="shared" ca="1" si="24"/>
        <v>05</v>
      </c>
    </row>
  </sheetData>
  <phoneticPr fontId="7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CD552CE-B979-4BDB-9FB1-264C1B806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프로젝트 시간 표시 막대</vt:lpstr>
      <vt:lpstr>계산</vt:lpstr>
      <vt:lpstr>StartDate</vt:lpstr>
      <vt:lpstr>StartDateWindow</vt:lpstr>
      <vt:lpstr>WindowDays</vt:lpstr>
      <vt:lpstr>WindowOffset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2016-01-21T04:23:15Z</dcterms:created>
  <dcterms:modified xsi:type="dcterms:W3CDTF">2020-11-04T23:38:12Z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TC029300439991</vt:lpwstr>
  </property>
</Properties>
</file>