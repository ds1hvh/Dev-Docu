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MyDocuments\Dev Docu\Work Docu\"/>
    </mc:Choice>
  </mc:AlternateContent>
  <xr:revisionPtr revIDLastSave="0" documentId="13_ncr:1_{D774AFA9-3480-442F-9C1E-887DE6E32E4F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Project 정보" sheetId="1" r:id="rId1"/>
    <sheet name="프로젝트 Milestone" sheetId="2" r:id="rId2"/>
    <sheet name="프로젝트 진행사항 " sheetId="5" r:id="rId3"/>
    <sheet name="TBD &amp; Risk 관리" sheetId="8" r:id="rId4"/>
    <sheet name="Project Output List" sheetId="3" r:id="rId5"/>
  </sheets>
  <externalReferences>
    <externalReference r:id="rId6"/>
    <externalReference r:id="rId7"/>
  </externalReferences>
  <definedNames>
    <definedName name="_xlnm._FilterDatabase" localSheetId="2" hidden="1">'프로젝트 진행사항 '!$C$6:$Q$128</definedName>
    <definedName name="Actual">(PeriodInActual*('프로젝트 진행사항 '!$O1&gt;0))*PeriodInPlan</definedName>
    <definedName name="ActualBeyond">PeriodInActual*('프로젝트 진행사항 '!$O1&gt;0)</definedName>
    <definedName name="EmployeeList">[1]!Employees[담당자]</definedName>
    <definedName name="PercentComplete">PercentCompleteBeyond*PeriodInPlan</definedName>
    <definedName name="PercentCompleteBeyond">('프로젝트 진행사항 '!A$8=MEDIAN('프로젝트 진행사항 '!A$8,'프로젝트 진행사항 '!$O1,'프로젝트 진행사항 '!$O1+'프로젝트 진행사항 '!$P1)*('프로젝트 진행사항 '!$O1&gt;0))*(('프로젝트 진행사항 '!A$8&lt;(INT('프로젝트 진행사항 '!$O1+'프로젝트 진행사항 '!$P1*'프로젝트 진행사항 '!$Q1)))+('프로젝트 진행사항 '!A$8='프로젝트 진행사항 '!$O1))*('프로젝트 진행사항 '!$Q1&gt;0)</definedName>
    <definedName name="period_selected">'프로젝트 진행사항 '!$X$3</definedName>
    <definedName name="PeriodInActual">'프로젝트 진행사항 '!A$8=MEDIAN('프로젝트 진행사항 '!A$8,'프로젝트 진행사항 '!$O1,'프로젝트 진행사항 '!$O1+'프로젝트 진행사항 '!$P1-1)</definedName>
    <definedName name="PeriodInPlan">'프로젝트 진행사항 '!A$8=MEDIAN('프로젝트 진행사항 '!A$8,'프로젝트 진행사항 '!$M1,'프로젝트 진행사항 '!$M1+'프로젝트 진행사항 '!$N1-1)</definedName>
    <definedName name="Plan">PeriodInPlan*('프로젝트 진행사항 '!$M1&gt;0)</definedName>
    <definedName name="_xlnm.Print_Area" localSheetId="1">'프로젝트 Milestone'!$A$1:$N$17</definedName>
    <definedName name="_xlnm.Print_Area" localSheetId="2">'프로젝트 진행사항 '!$A$1:$AI$22</definedName>
    <definedName name="ProjectEnd">'프로젝트 Milestone'!$L$23</definedName>
    <definedName name="TeamName">'Project 정보'!$B$15:$B$32</definedName>
    <definedName name="valHEnd">'[2]설정 및 계산'!$C$19</definedName>
    <definedName name="valHStart">'[2]설정 및 계산'!$C$18</definedName>
    <definedName name="프로젝트시작">'프로젝트 Milestone'!$L$21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5" l="1"/>
  <c r="M125" i="5" l="1"/>
  <c r="N125" i="5"/>
  <c r="O125" i="5"/>
  <c r="P125" i="5"/>
  <c r="M126" i="5"/>
  <c r="N126" i="5"/>
  <c r="O126" i="5"/>
  <c r="P126" i="5"/>
  <c r="M127" i="5"/>
  <c r="N127" i="5"/>
  <c r="O127" i="5"/>
  <c r="P127" i="5"/>
  <c r="M128" i="5"/>
  <c r="N128" i="5"/>
  <c r="O128" i="5"/>
  <c r="P128" i="5"/>
  <c r="M102" i="5"/>
  <c r="N102" i="5"/>
  <c r="O102" i="5"/>
  <c r="P102" i="5"/>
  <c r="M103" i="5"/>
  <c r="N103" i="5"/>
  <c r="O103" i="5"/>
  <c r="P103" i="5"/>
  <c r="M104" i="5"/>
  <c r="N104" i="5"/>
  <c r="O104" i="5"/>
  <c r="P104" i="5"/>
  <c r="M105" i="5"/>
  <c r="N105" i="5"/>
  <c r="O105" i="5"/>
  <c r="P105" i="5"/>
  <c r="M106" i="5"/>
  <c r="N106" i="5"/>
  <c r="O106" i="5"/>
  <c r="P106" i="5"/>
  <c r="M107" i="5"/>
  <c r="N107" i="5"/>
  <c r="O107" i="5"/>
  <c r="P107" i="5"/>
  <c r="M108" i="5"/>
  <c r="N108" i="5"/>
  <c r="O108" i="5"/>
  <c r="P108" i="5"/>
  <c r="M109" i="5"/>
  <c r="N109" i="5"/>
  <c r="O109" i="5"/>
  <c r="P109" i="5"/>
  <c r="M110" i="5"/>
  <c r="N110" i="5"/>
  <c r="O110" i="5"/>
  <c r="P110" i="5"/>
  <c r="M111" i="5"/>
  <c r="N111" i="5"/>
  <c r="O111" i="5"/>
  <c r="P111" i="5"/>
  <c r="M112" i="5"/>
  <c r="N112" i="5"/>
  <c r="O112" i="5"/>
  <c r="P112" i="5"/>
  <c r="M113" i="5"/>
  <c r="N113" i="5"/>
  <c r="O113" i="5"/>
  <c r="P113" i="5"/>
  <c r="M114" i="5"/>
  <c r="N114" i="5"/>
  <c r="O114" i="5"/>
  <c r="P114" i="5"/>
  <c r="M115" i="5"/>
  <c r="N115" i="5"/>
  <c r="O115" i="5"/>
  <c r="P115" i="5"/>
  <c r="M116" i="5"/>
  <c r="N116" i="5"/>
  <c r="O116" i="5"/>
  <c r="P116" i="5"/>
  <c r="M117" i="5"/>
  <c r="N117" i="5"/>
  <c r="O117" i="5"/>
  <c r="P117" i="5"/>
  <c r="M118" i="5"/>
  <c r="N118" i="5"/>
  <c r="O118" i="5"/>
  <c r="P118" i="5"/>
  <c r="M119" i="5"/>
  <c r="N119" i="5"/>
  <c r="O119" i="5"/>
  <c r="P119" i="5"/>
  <c r="M120" i="5"/>
  <c r="N120" i="5"/>
  <c r="O120" i="5"/>
  <c r="P120" i="5"/>
  <c r="M121" i="5"/>
  <c r="N121" i="5"/>
  <c r="O121" i="5"/>
  <c r="P121" i="5"/>
  <c r="M122" i="5"/>
  <c r="N122" i="5"/>
  <c r="O122" i="5"/>
  <c r="P122" i="5"/>
  <c r="M123" i="5"/>
  <c r="N123" i="5"/>
  <c r="O123" i="5"/>
  <c r="P123" i="5"/>
  <c r="M124" i="5"/>
  <c r="N124" i="5"/>
  <c r="O124" i="5"/>
  <c r="P124" i="5"/>
  <c r="M88" i="5"/>
  <c r="N88" i="5"/>
  <c r="O88" i="5"/>
  <c r="P88" i="5"/>
  <c r="M89" i="5"/>
  <c r="N89" i="5"/>
  <c r="O89" i="5"/>
  <c r="P89" i="5"/>
  <c r="M90" i="5"/>
  <c r="N90" i="5"/>
  <c r="O90" i="5"/>
  <c r="P90" i="5"/>
  <c r="M91" i="5"/>
  <c r="N91" i="5"/>
  <c r="O91" i="5"/>
  <c r="P91" i="5"/>
  <c r="M92" i="5"/>
  <c r="N92" i="5"/>
  <c r="O92" i="5"/>
  <c r="P92" i="5"/>
  <c r="M93" i="5"/>
  <c r="N93" i="5"/>
  <c r="O93" i="5"/>
  <c r="P93" i="5"/>
  <c r="M94" i="5"/>
  <c r="N94" i="5"/>
  <c r="O94" i="5"/>
  <c r="P94" i="5"/>
  <c r="M95" i="5"/>
  <c r="N95" i="5"/>
  <c r="O95" i="5"/>
  <c r="P95" i="5"/>
  <c r="M96" i="5"/>
  <c r="N96" i="5"/>
  <c r="O96" i="5"/>
  <c r="P96" i="5"/>
  <c r="M97" i="5"/>
  <c r="N97" i="5"/>
  <c r="O97" i="5"/>
  <c r="P97" i="5"/>
  <c r="M98" i="5"/>
  <c r="N98" i="5"/>
  <c r="O98" i="5"/>
  <c r="P98" i="5"/>
  <c r="M99" i="5"/>
  <c r="N99" i="5"/>
  <c r="O99" i="5"/>
  <c r="P99" i="5"/>
  <c r="M100" i="5"/>
  <c r="N100" i="5"/>
  <c r="O100" i="5"/>
  <c r="P100" i="5"/>
  <c r="M101" i="5"/>
  <c r="N101" i="5"/>
  <c r="O101" i="5"/>
  <c r="P101" i="5"/>
  <c r="M86" i="5"/>
  <c r="N86" i="5"/>
  <c r="O86" i="5"/>
  <c r="P86" i="5"/>
  <c r="M87" i="5"/>
  <c r="N87" i="5"/>
  <c r="O87" i="5"/>
  <c r="P87" i="5"/>
  <c r="M78" i="5"/>
  <c r="N78" i="5"/>
  <c r="O78" i="5"/>
  <c r="P78" i="5"/>
  <c r="M79" i="5"/>
  <c r="N79" i="5"/>
  <c r="O79" i="5"/>
  <c r="P79" i="5"/>
  <c r="M80" i="5"/>
  <c r="N80" i="5"/>
  <c r="O80" i="5"/>
  <c r="P80" i="5"/>
  <c r="M81" i="5"/>
  <c r="N81" i="5"/>
  <c r="O81" i="5"/>
  <c r="P81" i="5"/>
  <c r="M82" i="5"/>
  <c r="N82" i="5"/>
  <c r="O82" i="5"/>
  <c r="P82" i="5"/>
  <c r="M83" i="5"/>
  <c r="N83" i="5"/>
  <c r="O83" i="5"/>
  <c r="P83" i="5"/>
  <c r="M84" i="5"/>
  <c r="N84" i="5"/>
  <c r="O84" i="5"/>
  <c r="P84" i="5"/>
  <c r="M85" i="5"/>
  <c r="N85" i="5"/>
  <c r="O85" i="5"/>
  <c r="P85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M67" i="5"/>
  <c r="N67" i="5"/>
  <c r="O67" i="5"/>
  <c r="P67" i="5"/>
  <c r="M68" i="5"/>
  <c r="N68" i="5"/>
  <c r="O68" i="5"/>
  <c r="P68" i="5"/>
  <c r="M69" i="5"/>
  <c r="N69" i="5"/>
  <c r="O69" i="5"/>
  <c r="P69" i="5"/>
  <c r="M70" i="5"/>
  <c r="N70" i="5"/>
  <c r="O70" i="5"/>
  <c r="P70" i="5"/>
  <c r="M71" i="5"/>
  <c r="N71" i="5"/>
  <c r="O71" i="5"/>
  <c r="P71" i="5"/>
  <c r="M72" i="5"/>
  <c r="N72" i="5"/>
  <c r="O72" i="5"/>
  <c r="P72" i="5"/>
  <c r="M73" i="5"/>
  <c r="N73" i="5"/>
  <c r="O73" i="5"/>
  <c r="P73" i="5"/>
  <c r="M74" i="5"/>
  <c r="N74" i="5"/>
  <c r="O74" i="5"/>
  <c r="P74" i="5"/>
  <c r="M75" i="5"/>
  <c r="N75" i="5"/>
  <c r="O75" i="5"/>
  <c r="P75" i="5"/>
  <c r="M76" i="5"/>
  <c r="N76" i="5"/>
  <c r="O76" i="5"/>
  <c r="P76" i="5"/>
  <c r="M77" i="5"/>
  <c r="N77" i="5"/>
  <c r="O77" i="5"/>
  <c r="P77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P42" i="5"/>
  <c r="M43" i="5"/>
  <c r="N43" i="5"/>
  <c r="O43" i="5"/>
  <c r="P43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O28" i="5"/>
  <c r="P28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83" i="5"/>
  <c r="K84" i="5"/>
  <c r="K85" i="5"/>
  <c r="K68" i="5"/>
  <c r="K69" i="5"/>
  <c r="K70" i="5"/>
  <c r="K71" i="5"/>
  <c r="K72" i="5"/>
  <c r="K73" i="5"/>
  <c r="K74" i="5"/>
  <c r="K75" i="5"/>
  <c r="K76" i="5"/>
  <c r="K77" i="5"/>
  <c r="K78" i="5"/>
  <c r="K79" i="5"/>
  <c r="K62" i="5"/>
  <c r="K56" i="5"/>
  <c r="K48" i="5"/>
  <c r="K49" i="5"/>
  <c r="K50" i="5"/>
  <c r="K35" i="5"/>
  <c r="K36" i="5"/>
  <c r="K25" i="5"/>
  <c r="K26" i="5"/>
  <c r="K32" i="5"/>
  <c r="K24" i="5"/>
  <c r="K10" i="5" l="1"/>
  <c r="M12" i="5" l="1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K82" i="5" l="1"/>
  <c r="M10" i="5"/>
  <c r="N10" i="5"/>
  <c r="O10" i="5"/>
  <c r="P10" i="5"/>
  <c r="K33" i="5" l="1"/>
  <c r="K34" i="5"/>
  <c r="K128" i="5"/>
  <c r="K14" i="5"/>
  <c r="K110" i="5" l="1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57" i="5"/>
  <c r="K58" i="5"/>
  <c r="K59" i="5"/>
  <c r="K60" i="5"/>
  <c r="K61" i="5"/>
  <c r="K63" i="5"/>
  <c r="K64" i="5"/>
  <c r="K65" i="5"/>
  <c r="K66" i="5"/>
  <c r="K67" i="5"/>
  <c r="K80" i="5"/>
  <c r="K81" i="5"/>
  <c r="K37" i="5"/>
  <c r="K38" i="5"/>
  <c r="K39" i="5"/>
  <c r="K40" i="5"/>
  <c r="K41" i="5"/>
  <c r="K55" i="5" l="1"/>
  <c r="K54" i="5"/>
  <c r="K53" i="5"/>
  <c r="K52" i="5"/>
  <c r="M3" i="1" l="1"/>
  <c r="L3" i="1"/>
  <c r="K3" i="1"/>
  <c r="N3" i="1" l="1"/>
  <c r="K51" i="5"/>
  <c r="K47" i="5"/>
  <c r="K46" i="5"/>
  <c r="K45" i="5"/>
  <c r="K44" i="5"/>
  <c r="K31" i="5"/>
  <c r="K30" i="5"/>
  <c r="K29" i="5"/>
  <c r="K28" i="5"/>
  <c r="K27" i="5"/>
  <c r="P23" i="5"/>
  <c r="O23" i="5"/>
  <c r="N23" i="5"/>
  <c r="M23" i="5"/>
  <c r="K23" i="5"/>
  <c r="P22" i="5"/>
  <c r="O22" i="5"/>
  <c r="N22" i="5"/>
  <c r="M22" i="5"/>
  <c r="K22" i="5"/>
  <c r="P21" i="5"/>
  <c r="O21" i="5"/>
  <c r="N21" i="5"/>
  <c r="M21" i="5"/>
  <c r="K21" i="5"/>
  <c r="P20" i="5"/>
  <c r="O20" i="5"/>
  <c r="N20" i="5"/>
  <c r="M20" i="5"/>
  <c r="K20" i="5"/>
  <c r="K19" i="5"/>
  <c r="K18" i="5"/>
  <c r="K16" i="5"/>
  <c r="K15" i="5"/>
  <c r="K13" i="5"/>
  <c r="K12" i="5"/>
  <c r="P11" i="5"/>
  <c r="O11" i="5"/>
  <c r="N11" i="5"/>
  <c r="M11" i="5"/>
  <c r="K11" i="5"/>
  <c r="P9" i="5"/>
  <c r="O9" i="5"/>
  <c r="N9" i="5"/>
  <c r="M9" i="5"/>
  <c r="K9" i="5"/>
  <c r="G3" i="1" l="1"/>
  <c r="F3" i="1"/>
  <c r="H3" i="1"/>
  <c r="U4" i="5"/>
  <c r="I3" i="1" l="1"/>
  <c r="C4" i="3"/>
  <c r="H4" i="3"/>
  <c r="C3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3" i="3"/>
  <c r="A12" i="3"/>
  <c r="A11" i="3"/>
  <c r="A10" i="3"/>
  <c r="A9" i="3"/>
  <c r="A8" i="3"/>
  <c r="A7" i="3"/>
  <c r="A6" i="3"/>
  <c r="E32" i="2" l="1"/>
  <c r="E33" i="2"/>
  <c r="E34" i="2"/>
  <c r="E22" i="2" l="1"/>
  <c r="E23" i="2"/>
  <c r="E24" i="2"/>
  <c r="E25" i="2"/>
  <c r="E26" i="2"/>
  <c r="E27" i="2"/>
  <c r="E28" i="2"/>
  <c r="E29" i="2"/>
  <c r="E30" i="2"/>
  <c r="E31" i="2"/>
</calcChain>
</file>

<file path=xl/sharedStrings.xml><?xml version="1.0" encoding="utf-8"?>
<sst xmlns="http://schemas.openxmlformats.org/spreadsheetml/2006/main" count="224" uniqueCount="197">
  <si>
    <t>Project Name</t>
    <phoneticPr fontId="2" type="noConversion"/>
  </si>
  <si>
    <t>Project Code</t>
    <phoneticPr fontId="2" type="noConversion"/>
  </si>
  <si>
    <t>Project Leader</t>
    <phoneticPr fontId="2" type="noConversion"/>
  </si>
  <si>
    <t>시간 표시 막대</t>
    <phoneticPr fontId="7" type="noConversion"/>
  </si>
  <si>
    <t>날짜</t>
  </si>
  <si>
    <t>위치</t>
  </si>
  <si>
    <t>BASELINE</t>
  </si>
  <si>
    <t>프로젝트 시작</t>
  </si>
  <si>
    <t>프로젝트 종료</t>
  </si>
  <si>
    <t>프로젝트 주요 Milestone</t>
    <phoneticPr fontId="7" type="noConversion"/>
  </si>
  <si>
    <t>중요 시점</t>
    <phoneticPr fontId="2" type="noConversion"/>
  </si>
  <si>
    <t>개발 계획 확정</t>
    <phoneticPr fontId="7" type="noConversion"/>
  </si>
  <si>
    <t>Milestone</t>
    <phoneticPr fontId="7" type="noConversion"/>
  </si>
  <si>
    <r>
      <rPr>
        <b/>
        <sz val="10"/>
        <color theme="8" tint="-0.499984740745262"/>
        <rFont val="돋움"/>
        <family val="3"/>
        <charset val="129"/>
      </rPr>
      <t>개발</t>
    </r>
    <r>
      <rPr>
        <b/>
        <sz val="10"/>
        <color theme="8" tint="-0.499984740745262"/>
        <rFont val="Arial"/>
        <family val="2"/>
      </rPr>
      <t xml:space="preserve"> </t>
    </r>
    <r>
      <rPr>
        <b/>
        <sz val="10"/>
        <color theme="8" tint="-0.499984740745262"/>
        <rFont val="돋움"/>
        <family val="3"/>
        <charset val="129"/>
      </rPr>
      <t>기간</t>
    </r>
    <phoneticPr fontId="2" type="noConversion"/>
  </si>
  <si>
    <t>개발계획서 문서번호</t>
    <phoneticPr fontId="2" type="noConversion"/>
  </si>
  <si>
    <t>PDR</t>
    <phoneticPr fontId="2" type="noConversion"/>
  </si>
  <si>
    <t>CDR</t>
    <phoneticPr fontId="2" type="noConversion"/>
  </si>
  <si>
    <t>QA 검증 완료</t>
    <phoneticPr fontId="2" type="noConversion"/>
  </si>
  <si>
    <t>FDR</t>
    <phoneticPr fontId="2" type="noConversion"/>
  </si>
  <si>
    <t>Name</t>
  </si>
  <si>
    <t>문서관리 양식</t>
    <phoneticPr fontId="2" type="noConversion"/>
  </si>
  <si>
    <t>Project 명</t>
    <phoneticPr fontId="2" type="noConversion"/>
  </si>
  <si>
    <t>관리 담당자</t>
    <phoneticPr fontId="2" type="noConversion"/>
  </si>
  <si>
    <t>Project 코드</t>
    <phoneticPr fontId="2" type="noConversion"/>
  </si>
  <si>
    <t>최종 Update 일자</t>
    <phoneticPr fontId="2" type="noConversion"/>
  </si>
  <si>
    <t>순번</t>
    <phoneticPr fontId="2" type="noConversion"/>
  </si>
  <si>
    <t>문서번호</t>
    <phoneticPr fontId="2" type="noConversion"/>
  </si>
  <si>
    <t>Resivion</t>
    <phoneticPr fontId="2" type="noConversion"/>
  </si>
  <si>
    <t>문서분류</t>
    <phoneticPr fontId="2" type="noConversion"/>
  </si>
  <si>
    <t>문서 형태</t>
    <phoneticPr fontId="2" type="noConversion"/>
  </si>
  <si>
    <t>문서명</t>
    <phoneticPr fontId="2" type="noConversion"/>
  </si>
  <si>
    <t>Description</t>
    <phoneticPr fontId="2" type="noConversion"/>
  </si>
  <si>
    <t>담당팀</t>
    <phoneticPr fontId="2" type="noConversion"/>
  </si>
  <si>
    <t>작성자</t>
    <phoneticPr fontId="2" type="noConversion"/>
  </si>
  <si>
    <t>작성일자</t>
    <phoneticPr fontId="2" type="noConversion"/>
  </si>
  <si>
    <t>계획</t>
  </si>
  <si>
    <t>실제</t>
  </si>
  <si>
    <t>시작</t>
  </si>
  <si>
    <t>기간</t>
  </si>
  <si>
    <t xml:space="preserve"> 기간 표시:</t>
    <phoneticPr fontId="37" type="noConversion"/>
  </si>
  <si>
    <r>
      <rPr>
        <sz val="12"/>
        <color rgb="FF404040"/>
        <rFont val="맑은 고딕"/>
        <family val="3"/>
        <charset val="129"/>
      </rPr>
      <t>%</t>
    </r>
    <r>
      <rPr>
        <sz val="11"/>
        <color rgb="FF404040"/>
        <rFont val="맑은 고딕"/>
        <family val="3"/>
        <charset val="129"/>
      </rPr>
      <t xml:space="preserve"> </t>
    </r>
    <r>
      <rPr>
        <sz val="12"/>
        <color rgb="FF404040"/>
        <rFont val="맑은 고딕"/>
        <family val="3"/>
        <charset val="129"/>
      </rPr>
      <t>완료</t>
    </r>
  </si>
  <si>
    <r>
      <rPr>
        <sz val="12"/>
        <color rgb="FF404040"/>
        <rFont val="맑은 고딕"/>
        <family val="3"/>
        <charset val="129"/>
      </rPr>
      <t>실제(계획 초과</t>
    </r>
    <r>
      <rPr>
        <sz val="11"/>
        <color rgb="FF404040"/>
        <rFont val="맑은 고딕"/>
        <family val="3"/>
        <charset val="129"/>
      </rPr>
      <t>)</t>
    </r>
  </si>
  <si>
    <r>
      <rPr>
        <sz val="12"/>
        <color rgb="FF404040"/>
        <rFont val="맑은 고딕"/>
        <family val="3"/>
        <charset val="129"/>
      </rPr>
      <t>%</t>
    </r>
    <r>
      <rPr>
        <sz val="11"/>
        <color rgb="FF404040"/>
        <rFont val="맑은 고딕"/>
        <family val="3"/>
        <charset val="129"/>
      </rPr>
      <t xml:space="preserve"> </t>
    </r>
    <r>
      <rPr>
        <sz val="12"/>
        <color rgb="FF404040"/>
        <rFont val="맑은 고딕"/>
        <family val="3"/>
        <charset val="129"/>
      </rPr>
      <t>완료(계획 초과)</t>
    </r>
  </si>
  <si>
    <t>Task</t>
    <phoneticPr fontId="2" type="noConversion"/>
  </si>
  <si>
    <t>WBS</t>
    <phoneticPr fontId="2" type="noConversion"/>
  </si>
  <si>
    <t>담당자</t>
    <phoneticPr fontId="2" type="noConversion"/>
  </si>
  <si>
    <t>상태</t>
    <phoneticPr fontId="2" type="noConversion"/>
  </si>
  <si>
    <t>완료
 예정일</t>
    <phoneticPr fontId="2" type="noConversion"/>
  </si>
  <si>
    <t>시작 
예정일</t>
    <phoneticPr fontId="2" type="noConversion"/>
  </si>
  <si>
    <t>실제 
시작일</t>
    <phoneticPr fontId="2" type="noConversion"/>
  </si>
  <si>
    <t>실제 
완료일</t>
    <phoneticPr fontId="2" type="noConversion"/>
  </si>
  <si>
    <t>비고</t>
    <phoneticPr fontId="2" type="noConversion"/>
  </si>
  <si>
    <t>프로젝트 진행 일정표</t>
    <phoneticPr fontId="37" type="noConversion"/>
  </si>
  <si>
    <t>금주</t>
    <phoneticPr fontId="2" type="noConversion"/>
  </si>
  <si>
    <t>지연여부</t>
    <phoneticPr fontId="2" type="noConversion"/>
  </si>
  <si>
    <r>
      <rPr>
        <b/>
        <sz val="10"/>
        <rFont val="돋움"/>
        <family val="3"/>
        <charset val="129"/>
      </rPr>
      <t>프로젝트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팀원</t>
    </r>
    <r>
      <rPr>
        <b/>
        <sz val="10"/>
        <rFont val="Arial"/>
        <family val="2"/>
      </rPr>
      <t xml:space="preserve"> &amp; </t>
    </r>
    <r>
      <rPr>
        <b/>
        <sz val="10"/>
        <rFont val="돋움"/>
        <family val="3"/>
        <charset val="129"/>
      </rPr>
      <t>업무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그룹</t>
    </r>
    <r>
      <rPr>
        <b/>
        <sz val="10"/>
        <rFont val="Arial"/>
        <family val="2"/>
      </rPr>
      <t xml:space="preserve"> 
&amp; </t>
    </r>
    <r>
      <rPr>
        <b/>
        <sz val="10"/>
        <rFont val="돋움"/>
        <family val="3"/>
        <charset val="129"/>
      </rPr>
      <t>지원조직</t>
    </r>
    <phoneticPr fontId="2" type="noConversion"/>
  </si>
  <si>
    <t>정상</t>
  </si>
  <si>
    <t>전체 Task</t>
    <phoneticPr fontId="3" type="noConversion"/>
  </si>
  <si>
    <t>완료 Task</t>
    <phoneticPr fontId="3" type="noConversion"/>
  </si>
  <si>
    <t>진행 중 Task</t>
    <phoneticPr fontId="3" type="noConversion"/>
  </si>
  <si>
    <t>진행대기 Task</t>
    <phoneticPr fontId="3" type="noConversion"/>
  </si>
  <si>
    <t>지연 Task</t>
    <phoneticPr fontId="3" type="noConversion"/>
  </si>
  <si>
    <t>일정변경 Task</t>
    <phoneticPr fontId="3" type="noConversion"/>
  </si>
  <si>
    <t>정상 Task</t>
    <phoneticPr fontId="3" type="noConversion"/>
  </si>
  <si>
    <t>업무 지연 현황</t>
    <phoneticPr fontId="3" type="noConversion"/>
  </si>
  <si>
    <t>Task 진행 현황</t>
    <phoneticPr fontId="3" type="noConversion"/>
  </si>
  <si>
    <t>진도율</t>
    <phoneticPr fontId="2" type="noConversion"/>
  </si>
  <si>
    <t>ID</t>
    <phoneticPr fontId="2" type="noConversion"/>
  </si>
  <si>
    <t>확정 예정 일자</t>
    <phoneticPr fontId="2" type="noConversion"/>
  </si>
  <si>
    <t>결정 결과</t>
    <phoneticPr fontId="2" type="noConversion"/>
  </si>
  <si>
    <t>Description</t>
    <phoneticPr fontId="2" type="noConversion"/>
  </si>
  <si>
    <t>Status</t>
    <phoneticPr fontId="2" type="noConversion"/>
  </si>
  <si>
    <t>결정 근거</t>
    <phoneticPr fontId="2" type="noConversion"/>
  </si>
  <si>
    <t>비고</t>
    <phoneticPr fontId="2" type="noConversion"/>
  </si>
  <si>
    <t>TBD/ TBC 항목</t>
    <phoneticPr fontId="2" type="noConversion"/>
  </si>
  <si>
    <t>Risk Management</t>
    <phoneticPr fontId="2" type="noConversion"/>
  </si>
  <si>
    <t>위험 처리 Action</t>
    <phoneticPr fontId="2" type="noConversion"/>
  </si>
  <si>
    <t>위험 등급</t>
    <phoneticPr fontId="2" type="noConversion"/>
  </si>
  <si>
    <t>식별 일자</t>
    <phoneticPr fontId="2" type="noConversion"/>
  </si>
  <si>
    <t>위험 영향</t>
    <phoneticPr fontId="2" type="noConversion"/>
  </si>
  <si>
    <t>ID</t>
    <phoneticPr fontId="2" type="noConversion"/>
  </si>
  <si>
    <t>FB-T-01</t>
    <phoneticPr fontId="2" type="noConversion"/>
  </si>
  <si>
    <t>FB-R-01</t>
    <phoneticPr fontId="2" type="noConversion"/>
  </si>
  <si>
    <t>TRR</t>
    <phoneticPr fontId="2" type="noConversion"/>
  </si>
  <si>
    <t>EMI 검증 및 &amp; Alpha Test</t>
    <phoneticPr fontId="2" type="noConversion"/>
  </si>
  <si>
    <t>QA 검증 시작</t>
    <phoneticPr fontId="2" type="noConversion"/>
  </si>
  <si>
    <t>개발 계획서 작성</t>
    <phoneticPr fontId="2" type="noConversion"/>
  </si>
  <si>
    <t>생산 Wish List 작성</t>
    <phoneticPr fontId="2" type="noConversion"/>
  </si>
  <si>
    <t>QA 개발 검증 List Up</t>
    <phoneticPr fontId="2" type="noConversion"/>
  </si>
  <si>
    <t>WBS 작성</t>
    <phoneticPr fontId="2" type="noConversion"/>
  </si>
  <si>
    <t>계발 계획서 발표</t>
    <phoneticPr fontId="2" type="noConversion"/>
  </si>
  <si>
    <t>개선 항목 식별 / 요구사항 분석</t>
    <phoneticPr fontId="2" type="noConversion"/>
  </si>
  <si>
    <t>Block Diagram 작성</t>
    <phoneticPr fontId="2" type="noConversion"/>
  </si>
  <si>
    <t>S/W Architecture</t>
    <phoneticPr fontId="2" type="noConversion"/>
  </si>
  <si>
    <t>RF Architecture</t>
    <phoneticPr fontId="2" type="noConversion"/>
  </si>
  <si>
    <t>Connection Diagram 작성</t>
    <phoneticPr fontId="2" type="noConversion"/>
  </si>
  <si>
    <t>Power Budget 작성</t>
    <phoneticPr fontId="2" type="noConversion"/>
  </si>
  <si>
    <t>Motor 사전 적합성 검토</t>
  </si>
  <si>
    <t>Module 개념 설계</t>
    <phoneticPr fontId="2" type="noConversion"/>
  </si>
  <si>
    <t>Communication Protocol 설계</t>
    <phoneticPr fontId="2" type="noConversion"/>
  </si>
  <si>
    <t>초기 설계 검토 자료 취합</t>
    <phoneticPr fontId="2" type="noConversion"/>
  </si>
  <si>
    <t>제어 파트 전장 부품 선정</t>
    <phoneticPr fontId="2" type="noConversion"/>
  </si>
  <si>
    <t>RF 파트 부품 선정</t>
  </si>
  <si>
    <t>제어부품 개선에 다른 위치변경</t>
    <phoneticPr fontId="2" type="noConversion"/>
  </si>
  <si>
    <t>제어보드, 전장품 케이스 배치, 검토</t>
    <phoneticPr fontId="2" type="noConversion"/>
  </si>
  <si>
    <t>각 모터 위치 변경 검토, 배치</t>
    <phoneticPr fontId="2" type="noConversion"/>
  </si>
  <si>
    <t>케이블 패스 검토</t>
    <phoneticPr fontId="2" type="noConversion"/>
  </si>
  <si>
    <t>케이블 고정부품 검토</t>
    <phoneticPr fontId="2" type="noConversion"/>
  </si>
  <si>
    <t>기타 요구사항 반영 검토</t>
    <phoneticPr fontId="2" type="noConversion"/>
  </si>
  <si>
    <t>각 개선부 시험항목 식별, 평가</t>
    <phoneticPr fontId="2" type="noConversion"/>
  </si>
  <si>
    <t>BOM 작성</t>
    <phoneticPr fontId="2" type="noConversion"/>
  </si>
  <si>
    <t>성능평가 검사서 작성</t>
    <phoneticPr fontId="2" type="noConversion"/>
  </si>
  <si>
    <t>장납기 자재 발주</t>
  </si>
  <si>
    <t>장납기 자재 입고 확인</t>
  </si>
  <si>
    <t>CDR 자료정리,작성</t>
    <phoneticPr fontId="2" type="noConversion"/>
  </si>
  <si>
    <t>장납기 자재 식별</t>
    <phoneticPr fontId="2" type="noConversion"/>
  </si>
  <si>
    <t>Mec Parts  장납기 자재 식별 및 발주</t>
    <phoneticPr fontId="2" type="noConversion"/>
  </si>
  <si>
    <t>Control Parts  장납기 자재 식별 및 발주</t>
    <phoneticPr fontId="2" type="noConversion"/>
  </si>
  <si>
    <t>RFC Parts  장납기 자재 식별 및 발주</t>
    <phoneticPr fontId="2" type="noConversion"/>
  </si>
  <si>
    <t>모듈별 상세 설계</t>
    <phoneticPr fontId="2" type="noConversion"/>
  </si>
  <si>
    <t>Pedestal Control Unit</t>
    <phoneticPr fontId="2" type="noConversion"/>
  </si>
  <si>
    <t>Motor Driver Unit</t>
    <phoneticPr fontId="2" type="noConversion"/>
  </si>
  <si>
    <t>Polarization Control Unit</t>
    <phoneticPr fontId="2" type="noConversion"/>
  </si>
  <si>
    <t>ARTWORK</t>
    <phoneticPr fontId="2" type="noConversion"/>
  </si>
  <si>
    <t>Sample 제작</t>
    <phoneticPr fontId="2" type="noConversion"/>
  </si>
  <si>
    <t>성능 검사서 작성</t>
    <phoneticPr fontId="2" type="noConversion"/>
  </si>
  <si>
    <t>성능 시험</t>
    <phoneticPr fontId="2" type="noConversion"/>
  </si>
  <si>
    <t>Motor Driver Unit</t>
    <phoneticPr fontId="2" type="noConversion"/>
  </si>
  <si>
    <t>ARTWORK</t>
    <phoneticPr fontId="2" type="noConversion"/>
  </si>
  <si>
    <t>BOM 작성</t>
    <phoneticPr fontId="2" type="noConversion"/>
  </si>
  <si>
    <t>Sample 제작</t>
    <phoneticPr fontId="2" type="noConversion"/>
  </si>
  <si>
    <t>성능 검사서 작성</t>
    <phoneticPr fontId="2" type="noConversion"/>
  </si>
  <si>
    <t>성능 시험</t>
    <phoneticPr fontId="2" type="noConversion"/>
  </si>
  <si>
    <t>Polarization Control Unit</t>
    <phoneticPr fontId="2" type="noConversion"/>
  </si>
  <si>
    <t>모듈별 설계 변경 사항 정리</t>
    <phoneticPr fontId="2" type="noConversion"/>
  </si>
  <si>
    <t>Electrical Parts 상세 설계</t>
    <phoneticPr fontId="2" type="noConversion"/>
  </si>
  <si>
    <t>검증 항목 작성</t>
  </si>
  <si>
    <t>시험 계획서 작성</t>
  </si>
  <si>
    <t>성능 기준서 작성</t>
  </si>
  <si>
    <t>성능 평가 항목 작성</t>
  </si>
  <si>
    <t>인증 시험 준비</t>
  </si>
  <si>
    <t>3rd Party Test Lab Reservation (인증시험 예약)</t>
  </si>
  <si>
    <t>Proto Type 제작</t>
  </si>
  <si>
    <t>TR Review</t>
  </si>
  <si>
    <t>CDReview</t>
  </si>
  <si>
    <t>시험 보고서 작성</t>
  </si>
  <si>
    <t>Test Readence Step</t>
    <phoneticPr fontId="2" type="noConversion"/>
  </si>
  <si>
    <t>각 시제 전체 조립, 전체시험</t>
    <phoneticPr fontId="2" type="noConversion"/>
  </si>
  <si>
    <t>시험시 문제점, 보완사항 보완</t>
    <phoneticPr fontId="2" type="noConversion"/>
  </si>
  <si>
    <t>검증 및 TEST Step</t>
    <phoneticPr fontId="2" type="noConversion"/>
  </si>
  <si>
    <t>Design Review (PDR)</t>
    <phoneticPr fontId="2" type="noConversion"/>
  </si>
  <si>
    <t>Critical Design Step</t>
    <phoneticPr fontId="2" type="noConversion"/>
  </si>
  <si>
    <t>FDR</t>
    <phoneticPr fontId="2" type="noConversion"/>
  </si>
  <si>
    <t>PM Requirements</t>
    <phoneticPr fontId="2" type="noConversion"/>
  </si>
  <si>
    <t>Alpha Test</t>
    <phoneticPr fontId="2" type="noConversion"/>
  </si>
  <si>
    <t xml:space="preserve">EMC </t>
    <phoneticPr fontId="2" type="noConversion"/>
  </si>
  <si>
    <t>모듈별 설계 변경 사항 적용 - Sample 제작</t>
    <phoneticPr fontId="2" type="noConversion"/>
  </si>
  <si>
    <t>모듈별 설계 변경 사항 적용 - 상세 설계 적용</t>
    <phoneticPr fontId="2" type="noConversion"/>
  </si>
  <si>
    <t>RF Cable &amp; Connector</t>
    <phoneticPr fontId="2" type="noConversion"/>
  </si>
  <si>
    <t>RF Communication Unit</t>
    <phoneticPr fontId="2" type="noConversion"/>
  </si>
  <si>
    <t>Sample 제작</t>
    <phoneticPr fontId="2" type="noConversion"/>
  </si>
  <si>
    <t>성능 검사서 작성</t>
    <phoneticPr fontId="2" type="noConversion"/>
  </si>
  <si>
    <t>성능 시험</t>
    <phoneticPr fontId="2" type="noConversion"/>
  </si>
  <si>
    <t>RF Link Budget 작성</t>
    <phoneticPr fontId="2" type="noConversion"/>
  </si>
  <si>
    <t xml:space="preserve">모듈별 설계 변경 사항 적용 - 기능 시험 </t>
    <phoneticPr fontId="2" type="noConversion"/>
  </si>
  <si>
    <t>Field Issue List 작성</t>
    <phoneticPr fontId="2" type="noConversion"/>
  </si>
  <si>
    <t>H/W Architecture</t>
    <phoneticPr fontId="2" type="noConversion"/>
  </si>
  <si>
    <t>Electrical Parts list up</t>
    <phoneticPr fontId="2" type="noConversion"/>
  </si>
  <si>
    <t>RF Communication Unit</t>
    <phoneticPr fontId="2" type="noConversion"/>
  </si>
  <si>
    <t>모듈별 Sample 제작</t>
    <phoneticPr fontId="2" type="noConversion"/>
  </si>
  <si>
    <t>ARTWORK</t>
    <phoneticPr fontId="2" type="noConversion"/>
  </si>
  <si>
    <t>제어부품 개선에 다른 위치변경</t>
    <phoneticPr fontId="2" type="noConversion"/>
  </si>
  <si>
    <t>전장품 케이스 배치, 검토</t>
    <phoneticPr fontId="2" type="noConversion"/>
  </si>
  <si>
    <t>GPS 위치변경 검토</t>
    <phoneticPr fontId="2" type="noConversion"/>
  </si>
  <si>
    <t>Frame ground 검토, 상세설계</t>
    <phoneticPr fontId="2" type="noConversion"/>
  </si>
  <si>
    <t>케이블 패스 상세설계</t>
    <phoneticPr fontId="2" type="noConversion"/>
  </si>
  <si>
    <t>케이블 고정부품 선정, 적용</t>
    <phoneticPr fontId="2" type="noConversion"/>
  </si>
  <si>
    <t>상세설계 도면 제작, 공차검토, 변경부적용 상세설계</t>
    <phoneticPr fontId="2" type="noConversion"/>
  </si>
  <si>
    <t>BOM 작성</t>
    <phoneticPr fontId="2" type="noConversion"/>
  </si>
  <si>
    <t>기타 요구사항 반영 검토</t>
    <phoneticPr fontId="2" type="noConversion"/>
  </si>
  <si>
    <t>초안 레이아웃, 전장품케이스 모델링 완료</t>
    <phoneticPr fontId="2" type="noConversion"/>
  </si>
  <si>
    <t>초안 레이아웃</t>
    <phoneticPr fontId="2" type="noConversion"/>
  </si>
  <si>
    <t>조인트부 PM적용방법 적용</t>
    <phoneticPr fontId="2" type="noConversion"/>
  </si>
  <si>
    <t>미진행</t>
    <phoneticPr fontId="2" type="noConversion"/>
  </si>
  <si>
    <t xml:space="preserve">RF(NBD Part 개선) 예상 성능 검토 및 Link Budget 작성  </t>
  </si>
  <si>
    <t>Narrow Band Detector Unit</t>
  </si>
  <si>
    <t>Narrow Band Detector Unit</t>
    <phoneticPr fontId="2" type="noConversion"/>
  </si>
  <si>
    <t>ARTWORK</t>
    <phoneticPr fontId="2" type="noConversion"/>
  </si>
  <si>
    <t>BOM 작성</t>
    <phoneticPr fontId="2" type="noConversion"/>
  </si>
  <si>
    <t>Draft Version 설계 중
- Concept 결정이 필요함</t>
    <phoneticPr fontId="2" type="noConversion"/>
  </si>
  <si>
    <t>RF(NBD Part 개선) 상세 설계</t>
    <phoneticPr fontId="2" type="noConversion"/>
  </si>
  <si>
    <t>ETC ( RF 부품)</t>
    <phoneticPr fontId="2" type="noConversion"/>
  </si>
  <si>
    <t>2020/20/16</t>
    <phoneticPr fontId="2" type="noConversion"/>
  </si>
  <si>
    <t>Control Unit</t>
    <phoneticPr fontId="2" type="noConversion"/>
  </si>
  <si>
    <t>변경부품 식별</t>
    <phoneticPr fontId="2" type="noConversion"/>
  </si>
  <si>
    <t>전체 구성품 상세설계</t>
    <phoneticPr fontId="2" type="noConversion"/>
  </si>
  <si>
    <t>2020 Week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</si>
</sst>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8" x14ac:knownFonts="1"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10"/>
      <color theme="1" tint="0.499984740745262"/>
      <name val="맑은 고딕"/>
      <family val="2"/>
      <scheme val="minor"/>
    </font>
    <font>
      <sz val="10"/>
      <color theme="1" tint="0.499984740745262"/>
      <name val="맑은 고딕"/>
      <family val="3"/>
      <charset val="129"/>
    </font>
    <font>
      <sz val="10"/>
      <color theme="5"/>
      <name val="맑은 고딕"/>
      <family val="2"/>
      <scheme val="major"/>
    </font>
    <font>
      <sz val="8"/>
      <name val="맑은 고딕"/>
      <family val="3"/>
      <charset val="129"/>
      <scheme val="minor"/>
    </font>
    <font>
      <b/>
      <sz val="20"/>
      <color theme="0"/>
      <name val="맑은 고딕"/>
      <family val="2"/>
      <scheme val="minor"/>
    </font>
    <font>
      <b/>
      <sz val="22"/>
      <color theme="0"/>
      <name val="맑은 고딕"/>
      <family val="3"/>
      <charset val="129"/>
    </font>
    <font>
      <b/>
      <sz val="11"/>
      <color theme="5"/>
      <name val="맑은 고딕"/>
      <family val="2"/>
      <scheme val="minor"/>
    </font>
    <font>
      <b/>
      <sz val="11"/>
      <color theme="5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5"/>
      <name val="맑은 고딕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b/>
      <sz val="12"/>
      <name val="맑은 고딕"/>
      <family val="3"/>
      <charset val="129"/>
      <scheme val="minor"/>
    </font>
    <font>
      <b/>
      <sz val="10"/>
      <color theme="8" tint="-0.499984740745262"/>
      <name val="Arial"/>
      <family val="2"/>
    </font>
    <font>
      <b/>
      <sz val="10"/>
      <color theme="8" tint="-0.499984740745262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42"/>
      <color theme="7"/>
      <name val="맑은 고딕"/>
      <family val="2"/>
      <scheme val="major"/>
    </font>
    <font>
      <sz val="11"/>
      <color theme="1" tint="0.24994659260841701"/>
      <name val="맑은 고딕"/>
      <family val="2"/>
      <scheme val="major"/>
    </font>
    <font>
      <b/>
      <sz val="11"/>
      <color theme="1" tint="0.24994659260841701"/>
      <name val="맑은 고딕"/>
      <family val="2"/>
      <scheme val="minor"/>
    </font>
    <font>
      <sz val="14"/>
      <color theme="1" tint="0.24994659260841701"/>
      <name val="맑은 고딕"/>
      <family val="2"/>
      <scheme val="minor"/>
    </font>
    <font>
      <b/>
      <sz val="13"/>
      <color theme="1" tint="0.24994659260841701"/>
      <name val="맑은 고딕"/>
      <family val="2"/>
      <scheme val="major"/>
    </font>
    <font>
      <b/>
      <sz val="13"/>
      <color theme="7"/>
      <name val="맑은 고딕"/>
      <family val="2"/>
      <scheme val="major"/>
    </font>
    <font>
      <b/>
      <sz val="9.5"/>
      <color theme="1" tint="0.499984740745262"/>
      <name val="맑은 고딕"/>
      <family val="2"/>
      <scheme val="minor"/>
    </font>
    <font>
      <b/>
      <sz val="13"/>
      <color rgb="FF404040"/>
      <name val="Corbel"/>
      <family val="2"/>
    </font>
    <font>
      <sz val="11"/>
      <color rgb="FF404040"/>
      <name val="Corbel"/>
      <family val="2"/>
    </font>
    <font>
      <b/>
      <sz val="13"/>
      <color rgb="FF735773"/>
      <name val="Corbel"/>
      <family val="2"/>
    </font>
    <font>
      <sz val="8"/>
      <name val="Corbel"/>
      <family val="3"/>
      <charset val="129"/>
    </font>
    <font>
      <b/>
      <sz val="11"/>
      <color rgb="FF404040"/>
      <name val="Calibri"/>
      <family val="2"/>
    </font>
    <font>
      <b/>
      <sz val="11"/>
      <color rgb="FF404040"/>
      <name val="맑은 고딕"/>
      <family val="3"/>
      <charset val="129"/>
    </font>
    <font>
      <sz val="14"/>
      <color rgb="FF735773"/>
      <name val="Calibri"/>
      <family val="2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9.5"/>
      <color rgb="FF808080"/>
      <name val="Calibri"/>
      <family val="2"/>
    </font>
    <font>
      <b/>
      <sz val="9.5"/>
      <color rgb="FF808080"/>
      <name val="맑은 고딕"/>
      <family val="3"/>
      <charset val="129"/>
    </font>
    <font>
      <sz val="12"/>
      <color rgb="FF404040"/>
      <name val="Calibri"/>
      <family val="2"/>
    </font>
    <font>
      <b/>
      <sz val="13"/>
      <color rgb="FF735773"/>
      <name val="Calibri"/>
      <family val="2"/>
    </font>
    <font>
      <b/>
      <sz val="12"/>
      <color theme="1"/>
      <name val="맑은 고딕"/>
      <family val="3"/>
      <charset val="129"/>
    </font>
    <font>
      <b/>
      <sz val="11"/>
      <color theme="1"/>
      <name val="Corbel"/>
      <family val="2"/>
    </font>
    <font>
      <b/>
      <sz val="9"/>
      <color rgb="FF404040"/>
      <name val="맑은 고딕"/>
      <family val="3"/>
      <charset val="129"/>
    </font>
    <font>
      <b/>
      <sz val="10"/>
      <color rgb="FF40404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28"/>
      <color rgb="FF7030A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rgb="FF808080"/>
      <name val="Calibri"/>
      <family val="2"/>
    </font>
    <font>
      <b/>
      <sz val="1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9.5"/>
      <color rgb="FF808080"/>
      <name val="돋움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7DEB9"/>
        <bgColor rgb="FF000000"/>
      </patternFill>
    </fill>
    <fill>
      <patternFill patternType="lightUp">
        <fgColor rgb="FF735773"/>
        <bgColor rgb="FFFFFFFF"/>
      </patternFill>
    </fill>
    <fill>
      <patternFill patternType="lightUp">
        <fgColor rgb="FF735773"/>
        <bgColor rgb="FFCAB9CA"/>
      </patternFill>
    </fill>
    <fill>
      <patternFill patternType="solid">
        <fgColor rgb="FF735773"/>
        <bgColor auto="1"/>
      </patternFill>
    </fill>
    <fill>
      <patternFill patternType="lightUp">
        <fgColor rgb="FF735773"/>
        <bgColor rgb="FFF7DEB9"/>
      </patternFill>
    </fill>
    <fill>
      <patternFill patternType="solid">
        <fgColor rgb="FFE9AB51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rgb="FFD1881B"/>
      </top>
      <bottom style="thin">
        <color rgb="FFD1881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73577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rgb="FFD1881B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0" fontId="4" fillId="3" borderId="0">
      <alignment vertical="center"/>
    </xf>
    <xf numFmtId="0" fontId="6" fillId="4" borderId="0" applyNumberFormat="0" applyBorder="0" applyAlignment="0" applyProtection="0"/>
    <xf numFmtId="0" fontId="8" fillId="4" borderId="0" applyNumberFormat="0" applyBorder="0" applyAlignment="0" applyProtection="0"/>
    <xf numFmtId="0" fontId="10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Protection="0">
      <alignment vertical="center"/>
    </xf>
    <xf numFmtId="0" fontId="29" fillId="8" borderId="14" applyNumberFormat="0" applyProtection="0">
      <alignment horizontal="left" vertical="center"/>
    </xf>
    <xf numFmtId="0" fontId="30" fillId="0" borderId="0" applyNumberFormat="0" applyFill="0" applyBorder="0" applyProtection="0">
      <alignment horizontal="left" vertical="center"/>
    </xf>
    <xf numFmtId="0" fontId="31" fillId="0" borderId="0" applyFill="0" applyBorder="0" applyProtection="0">
      <alignment horizontal="left"/>
    </xf>
    <xf numFmtId="9" fontId="32" fillId="0" borderId="0" applyFill="0" applyBorder="0" applyProtection="0">
      <alignment horizontal="center" vertical="center"/>
    </xf>
    <xf numFmtId="0" fontId="33" fillId="0" borderId="0" applyFill="0" applyBorder="0" applyProtection="0">
      <alignment horizontal="center"/>
    </xf>
    <xf numFmtId="3" fontId="33" fillId="0" borderId="15" applyFill="0" applyProtection="0">
      <alignment horizontal="center"/>
    </xf>
  </cellStyleXfs>
  <cellXfs count="112">
    <xf numFmtId="0" fontId="0" fillId="0" borderId="0" xfId="0">
      <alignment vertical="center"/>
    </xf>
    <xf numFmtId="0" fontId="5" fillId="3" borderId="0" xfId="2" applyFont="1">
      <alignment vertical="center"/>
    </xf>
    <xf numFmtId="0" fontId="5" fillId="5" borderId="0" xfId="2" applyFont="1" applyFill="1">
      <alignment vertical="center"/>
    </xf>
    <xf numFmtId="0" fontId="9" fillId="5" borderId="0" xfId="4" applyFont="1" applyFill="1" applyAlignment="1">
      <alignment vertical="center"/>
    </xf>
    <xf numFmtId="14" fontId="5" fillId="5" borderId="0" xfId="2" applyNumberFormat="1" applyFont="1" applyFill="1">
      <alignment vertical="center"/>
    </xf>
    <xf numFmtId="0" fontId="5" fillId="5" borderId="0" xfId="2" applyFont="1" applyFill="1" applyAlignment="1">
      <alignment horizontal="center"/>
    </xf>
    <xf numFmtId="0" fontId="5" fillId="5" borderId="0" xfId="2" applyFont="1" applyFill="1" applyAlignment="1">
      <alignment horizontal="left"/>
    </xf>
    <xf numFmtId="0" fontId="11" fillId="5" borderId="3" xfId="5" applyFont="1" applyFill="1" applyBorder="1" applyAlignment="1">
      <alignment horizontal="left" vertical="center" indent="1"/>
    </xf>
    <xf numFmtId="0" fontId="5" fillId="5" borderId="4" xfId="2" applyFont="1" applyFill="1" applyBorder="1">
      <alignment vertical="center"/>
    </xf>
    <xf numFmtId="0" fontId="5" fillId="5" borderId="5" xfId="2" applyFont="1" applyFill="1" applyBorder="1">
      <alignment vertical="center"/>
    </xf>
    <xf numFmtId="0" fontId="5" fillId="5" borderId="0" xfId="2" applyNumberFormat="1" applyFont="1" applyFill="1">
      <alignment vertical="center"/>
    </xf>
    <xf numFmtId="0" fontId="12" fillId="5" borderId="0" xfId="2" applyFont="1" applyFill="1">
      <alignment vertical="center"/>
    </xf>
    <xf numFmtId="0" fontId="14" fillId="5" borderId="6" xfId="2" applyFont="1" applyFill="1" applyBorder="1" applyAlignment="1">
      <alignment horizontal="center" vertical="center"/>
    </xf>
    <xf numFmtId="55" fontId="14" fillId="5" borderId="6" xfId="2" applyNumberFormat="1" applyFont="1" applyFill="1" applyBorder="1" applyAlignment="1">
      <alignment horizontal="center" vertical="center"/>
    </xf>
    <xf numFmtId="0" fontId="14" fillId="5" borderId="6" xfId="2" applyNumberFormat="1" applyFont="1" applyFill="1" applyBorder="1" applyAlignment="1">
      <alignment horizontal="center" vertical="center"/>
    </xf>
    <xf numFmtId="0" fontId="15" fillId="5" borderId="0" xfId="3" applyFont="1" applyFill="1" applyAlignment="1"/>
    <xf numFmtId="0" fontId="17" fillId="6" borderId="7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14" fontId="24" fillId="0" borderId="6" xfId="0" applyNumberFormat="1" applyFont="1" applyBorder="1" applyAlignment="1">
      <alignment horizontal="center" vertical="center"/>
    </xf>
    <xf numFmtId="15" fontId="18" fillId="0" borderId="13" xfId="0" applyNumberFormat="1" applyFont="1" applyFill="1" applyBorder="1" applyAlignment="1">
      <alignment horizontal="center" vertical="center"/>
    </xf>
    <xf numFmtId="0" fontId="28" fillId="0" borderId="0" xfId="7" applyAlignment="1">
      <alignment horizontal="center"/>
    </xf>
    <xf numFmtId="0" fontId="28" fillId="0" borderId="0" xfId="7">
      <alignment vertical="center"/>
    </xf>
    <xf numFmtId="0" fontId="31" fillId="0" borderId="0" xfId="10">
      <alignment horizontal="left"/>
    </xf>
    <xf numFmtId="9" fontId="32" fillId="0" borderId="0" xfId="11">
      <alignment horizontal="center" vertical="center"/>
    </xf>
    <xf numFmtId="0" fontId="34" fillId="0" borderId="0" xfId="10" applyFont="1" applyFill="1" applyBorder="1">
      <alignment horizontal="left"/>
    </xf>
    <xf numFmtId="0" fontId="35" fillId="0" borderId="0" xfId="0" applyFont="1" applyFill="1" applyBorder="1" applyAlignment="1">
      <alignment horizontal="center"/>
    </xf>
    <xf numFmtId="9" fontId="36" fillId="0" borderId="0" xfId="11" applyFont="1" applyFill="1" applyBorder="1">
      <alignment horizontal="center" vertical="center"/>
    </xf>
    <xf numFmtId="0" fontId="35" fillId="0" borderId="0" xfId="0" applyFont="1" applyFill="1" applyBorder="1">
      <alignment vertical="center"/>
    </xf>
    <xf numFmtId="0" fontId="39" fillId="9" borderId="16" xfId="8" applyFont="1" applyFill="1" applyBorder="1">
      <alignment horizontal="left" vertical="center"/>
    </xf>
    <xf numFmtId="0" fontId="38" fillId="9" borderId="16" xfId="8" applyFont="1" applyFill="1" applyBorder="1">
      <alignment horizontal="left" vertical="center"/>
    </xf>
    <xf numFmtId="0" fontId="40" fillId="9" borderId="16" xfId="8" applyFont="1" applyFill="1" applyBorder="1">
      <alignment horizontal="left" vertical="center"/>
    </xf>
    <xf numFmtId="0" fontId="35" fillId="10" borderId="17" xfId="0" applyFont="1" applyFill="1" applyBorder="1" applyAlignment="1">
      <alignment horizontal="center"/>
    </xf>
    <xf numFmtId="0" fontId="41" fillId="0" borderId="0" xfId="9" applyFont="1" applyFill="1" applyBorder="1">
      <alignment horizontal="left" vertical="center"/>
    </xf>
    <xf numFmtId="0" fontId="35" fillId="11" borderId="17" xfId="0" applyFont="1" applyFill="1" applyBorder="1" applyAlignment="1">
      <alignment horizontal="center"/>
    </xf>
    <xf numFmtId="0" fontId="35" fillId="12" borderId="17" xfId="0" applyFont="1" applyFill="1" applyBorder="1" applyAlignment="1">
      <alignment horizontal="center"/>
    </xf>
    <xf numFmtId="0" fontId="42" fillId="0" borderId="0" xfId="9" applyFont="1" applyFill="1" applyBorder="1">
      <alignment horizontal="left" vertical="center"/>
    </xf>
    <xf numFmtId="0" fontId="35" fillId="13" borderId="17" xfId="0" applyFont="1" applyFill="1" applyBorder="1" applyAlignment="1">
      <alignment horizontal="center"/>
    </xf>
    <xf numFmtId="0" fontId="35" fillId="14" borderId="17" xfId="0" applyFont="1" applyFill="1" applyBorder="1" applyAlignment="1">
      <alignment horizontal="center"/>
    </xf>
    <xf numFmtId="0" fontId="43" fillId="0" borderId="0" xfId="12" applyFont="1" applyFill="1" applyBorder="1">
      <alignment horizontal="center"/>
    </xf>
    <xf numFmtId="3" fontId="43" fillId="0" borderId="18" xfId="13" applyFont="1" applyFill="1" applyBorder="1">
      <alignment horizontal="center"/>
    </xf>
    <xf numFmtId="0" fontId="44" fillId="0" borderId="19" xfId="12" applyFont="1" applyFill="1" applyBorder="1">
      <alignment horizontal="center"/>
    </xf>
    <xf numFmtId="3" fontId="43" fillId="0" borderId="19" xfId="13" applyFont="1" applyFill="1" applyBorder="1">
      <alignment horizontal="center"/>
    </xf>
    <xf numFmtId="0" fontId="45" fillId="0" borderId="19" xfId="0" applyFont="1" applyFill="1" applyBorder="1" applyAlignment="1">
      <alignment horizontal="center"/>
    </xf>
    <xf numFmtId="9" fontId="46" fillId="0" borderId="19" xfId="11" applyFont="1" applyFill="1" applyBorder="1">
      <alignment horizontal="center" vertical="center"/>
    </xf>
    <xf numFmtId="14" fontId="50" fillId="0" borderId="19" xfId="10" applyNumberFormat="1" applyFont="1" applyFill="1" applyBorder="1" applyAlignment="1">
      <alignment horizontal="center"/>
    </xf>
    <xf numFmtId="0" fontId="39" fillId="0" borderId="19" xfId="10" applyFont="1" applyFill="1" applyBorder="1" applyAlignment="1">
      <alignment horizontal="left" indent="1"/>
    </xf>
    <xf numFmtId="14" fontId="49" fillId="0" borderId="19" xfId="1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14" fontId="50" fillId="15" borderId="19" xfId="10" applyNumberFormat="1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54" fillId="0" borderId="0" xfId="12" applyFont="1" applyFill="1" applyBorder="1">
      <alignment horizontal="center"/>
    </xf>
    <xf numFmtId="0" fontId="55" fillId="0" borderId="0" xfId="12" applyFont="1" applyFill="1" applyBorder="1">
      <alignment horizontal="center"/>
    </xf>
    <xf numFmtId="0" fontId="53" fillId="17" borderId="6" xfId="0" applyFont="1" applyFill="1" applyBorder="1" applyAlignment="1">
      <alignment horizontal="center" vertical="center"/>
    </xf>
    <xf numFmtId="0" fontId="21" fillId="18" borderId="6" xfId="0" applyFont="1" applyFill="1" applyBorder="1" applyAlignment="1">
      <alignment horizontal="center" vertical="center" wrapText="1"/>
    </xf>
    <xf numFmtId="0" fontId="21" fillId="16" borderId="6" xfId="0" applyFont="1" applyFill="1" applyBorder="1" applyAlignment="1">
      <alignment horizontal="center" vertical="center"/>
    </xf>
    <xf numFmtId="0" fontId="21" fillId="16" borderId="6" xfId="0" applyFont="1" applyFill="1" applyBorder="1" applyAlignment="1">
      <alignment horizontal="center" vertical="center" wrapText="1"/>
    </xf>
    <xf numFmtId="0" fontId="39" fillId="0" borderId="0" xfId="10" applyFont="1" applyFill="1" applyBorder="1" applyAlignment="1">
      <alignment horizontal="left" indent="1"/>
    </xf>
    <xf numFmtId="3" fontId="57" fillId="0" borderId="19" xfId="13" applyFont="1" applyFill="1" applyBorder="1">
      <alignment horizontal="center"/>
    </xf>
    <xf numFmtId="0" fontId="50" fillId="0" borderId="19" xfId="10" applyFont="1" applyFill="1" applyBorder="1" applyAlignment="1">
      <alignment horizontal="left" indent="1"/>
    </xf>
    <xf numFmtId="0" fontId="50" fillId="0" borderId="19" xfId="10" applyFont="1" applyFill="1" applyBorder="1" applyAlignment="1">
      <alignment horizontal="left" indent="2"/>
    </xf>
    <xf numFmtId="0" fontId="50" fillId="0" borderId="19" xfId="10" applyFont="1" applyFill="1" applyBorder="1" applyAlignment="1">
      <alignment horizontal="left" indent="3"/>
    </xf>
    <xf numFmtId="0" fontId="50" fillId="0" borderId="19" xfId="10" applyFont="1" applyFill="1" applyBorder="1" applyAlignment="1">
      <alignment horizontal="left" indent="4"/>
    </xf>
    <xf numFmtId="49" fontId="35" fillId="0" borderId="19" xfId="0" applyNumberFormat="1" applyFont="1" applyFill="1" applyBorder="1" applyAlignment="1">
      <alignment horizontal="left" vertical="center"/>
    </xf>
    <xf numFmtId="0" fontId="35" fillId="0" borderId="19" xfId="0" quotePrefix="1" applyNumberFormat="1" applyFont="1" applyFill="1" applyBorder="1" applyAlignment="1">
      <alignment horizontal="left" vertical="center"/>
    </xf>
    <xf numFmtId="0" fontId="35" fillId="0" borderId="19" xfId="0" applyNumberFormat="1" applyFont="1" applyFill="1" applyBorder="1" applyAlignment="1">
      <alignment horizontal="left" vertical="center"/>
    </xf>
    <xf numFmtId="0" fontId="50" fillId="0" borderId="19" xfId="10" applyFont="1" applyFill="1" applyBorder="1" applyAlignment="1">
      <alignment horizontal="left" indent="5"/>
    </xf>
    <xf numFmtId="0" fontId="28" fillId="2" borderId="0" xfId="7" applyFill="1">
      <alignment vertical="center"/>
    </xf>
    <xf numFmtId="0" fontId="53" fillId="0" borderId="9" xfId="0" applyFont="1" applyBorder="1" applyAlignment="1">
      <alignment horizontal="center" vertical="center" wrapText="1"/>
    </xf>
    <xf numFmtId="0" fontId="35" fillId="2" borderId="0" xfId="0" applyFont="1" applyFill="1" applyBorder="1">
      <alignment vertical="center"/>
    </xf>
    <xf numFmtId="0" fontId="24" fillId="0" borderId="6" xfId="0" applyFont="1" applyBorder="1" applyAlignment="1">
      <alignment horizontal="left" vertical="center"/>
    </xf>
    <xf numFmtId="0" fontId="50" fillId="5" borderId="19" xfId="10" applyFont="1" applyFill="1" applyBorder="1" applyAlignment="1">
      <alignment horizontal="left" indent="1"/>
    </xf>
    <xf numFmtId="3" fontId="57" fillId="5" borderId="19" xfId="13" applyFont="1" applyFill="1" applyBorder="1">
      <alignment horizontal="center"/>
    </xf>
    <xf numFmtId="14" fontId="49" fillId="5" borderId="19" xfId="10" applyNumberFormat="1" applyFont="1" applyFill="1" applyBorder="1" applyAlignment="1">
      <alignment horizontal="center"/>
    </xf>
    <xf numFmtId="3" fontId="43" fillId="5" borderId="19" xfId="13" applyFont="1" applyFill="1" applyBorder="1">
      <alignment horizontal="center"/>
    </xf>
    <xf numFmtId="0" fontId="50" fillId="5" borderId="19" xfId="10" applyFont="1" applyFill="1" applyBorder="1" applyAlignment="1">
      <alignment horizontal="left" indent="2"/>
    </xf>
    <xf numFmtId="14" fontId="50" fillId="0" borderId="19" xfId="10" applyNumberFormat="1" applyFont="1" applyFill="1" applyBorder="1" applyAlignment="1">
      <alignment horizontal="left"/>
    </xf>
    <xf numFmtId="14" fontId="50" fillId="0" borderId="19" xfId="10" applyNumberFormat="1" applyFont="1" applyFill="1" applyBorder="1" applyAlignment="1">
      <alignment horizontal="left" wrapText="1"/>
    </xf>
    <xf numFmtId="0" fontId="0" fillId="0" borderId="24" xfId="0" applyBorder="1" applyAlignment="1">
      <alignment horizontal="center" vertical="center"/>
    </xf>
    <xf numFmtId="0" fontId="48" fillId="0" borderId="20" xfId="0" applyFont="1" applyFill="1" applyBorder="1" applyAlignment="1">
      <alignment horizontal="center" vertical="center"/>
    </xf>
    <xf numFmtId="0" fontId="48" fillId="0" borderId="22" xfId="0" applyFont="1" applyFill="1" applyBorder="1" applyAlignment="1">
      <alignment horizontal="center" vertical="center"/>
    </xf>
    <xf numFmtId="0" fontId="48" fillId="0" borderId="21" xfId="0" applyFont="1" applyFill="1" applyBorder="1" applyAlignment="1">
      <alignment horizontal="center" vertical="center"/>
    </xf>
    <xf numFmtId="0" fontId="47" fillId="0" borderId="20" xfId="12" applyFont="1" applyFill="1" applyBorder="1" applyAlignment="1">
      <alignment horizontal="center" vertical="center"/>
    </xf>
    <xf numFmtId="0" fontId="47" fillId="0" borderId="22" xfId="12" applyFont="1" applyFill="1" applyBorder="1" applyAlignment="1">
      <alignment horizontal="center" vertical="center"/>
    </xf>
    <xf numFmtId="0" fontId="47" fillId="0" borderId="21" xfId="12" applyFont="1" applyFill="1" applyBorder="1" applyAlignment="1">
      <alignment horizontal="center" vertical="center"/>
    </xf>
    <xf numFmtId="0" fontId="52" fillId="16" borderId="19" xfId="1" applyFont="1" applyFill="1" applyBorder="1" applyAlignment="1">
      <alignment horizontal="center" vertical="center"/>
    </xf>
    <xf numFmtId="0" fontId="51" fillId="2" borderId="23" xfId="0" applyFont="1" applyFill="1" applyBorder="1" applyAlignment="1">
      <alignment horizontal="center"/>
    </xf>
    <xf numFmtId="0" fontId="47" fillId="0" borderId="20" xfId="12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56" fillId="16" borderId="10" xfId="0" applyFont="1" applyFill="1" applyBorder="1" applyAlignment="1">
      <alignment horizontal="center" vertical="center"/>
    </xf>
    <xf numFmtId="0" fontId="56" fillId="16" borderId="11" xfId="0" applyFont="1" applyFill="1" applyBorder="1" applyAlignment="1">
      <alignment horizontal="center" vertical="center"/>
    </xf>
    <xf numFmtId="0" fontId="56" fillId="16" borderId="12" xfId="0" applyFont="1" applyFill="1" applyBorder="1" applyAlignment="1">
      <alignment horizontal="center" vertical="center"/>
    </xf>
    <xf numFmtId="0" fontId="53" fillId="17" borderId="10" xfId="0" applyFont="1" applyFill="1" applyBorder="1" applyAlignment="1">
      <alignment horizontal="center" vertical="center"/>
    </xf>
    <xf numFmtId="0" fontId="53" fillId="17" borderId="12" xfId="0" applyFont="1" applyFill="1" applyBorder="1" applyAlignment="1">
      <alignment horizontal="center" vertical="center"/>
    </xf>
    <xf numFmtId="0" fontId="22" fillId="19" borderId="6" xfId="0" applyFont="1" applyFill="1" applyBorder="1" applyAlignment="1">
      <alignment horizontal="center" vertical="center"/>
    </xf>
    <xf numFmtId="0" fontId="23" fillId="19" borderId="6" xfId="0" applyFont="1" applyFill="1" applyBorder="1" applyAlignment="1">
      <alignment horizontal="center" vertical="center"/>
    </xf>
    <xf numFmtId="0" fontId="21" fillId="18" borderId="6" xfId="0" applyFont="1" applyFill="1" applyBorder="1" applyAlignment="1">
      <alignment horizontal="center" vertical="center"/>
    </xf>
    <xf numFmtId="15" fontId="14" fillId="18" borderId="10" xfId="0" applyNumberFormat="1" applyFont="1" applyFill="1" applyBorder="1" applyAlignment="1">
      <alignment horizontal="center" vertical="center"/>
    </xf>
    <xf numFmtId="0" fontId="14" fillId="18" borderId="11" xfId="0" applyFont="1" applyFill="1" applyBorder="1" applyAlignment="1">
      <alignment horizontal="center" vertical="center"/>
    </xf>
    <xf numFmtId="0" fontId="14" fillId="18" borderId="12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center" vertical="center"/>
    </xf>
    <xf numFmtId="31" fontId="14" fillId="18" borderId="10" xfId="0" applyNumberFormat="1" applyFont="1" applyFill="1" applyBorder="1" applyAlignment="1">
      <alignment horizontal="center" vertical="center"/>
    </xf>
    <xf numFmtId="31" fontId="14" fillId="18" borderId="11" xfId="0" applyNumberFormat="1" applyFont="1" applyFill="1" applyBorder="1" applyAlignment="1">
      <alignment horizontal="center" vertical="center"/>
    </xf>
    <xf numFmtId="31" fontId="14" fillId="18" borderId="12" xfId="0" applyNumberFormat="1" applyFont="1" applyFill="1" applyBorder="1" applyAlignment="1">
      <alignment horizontal="center" vertical="center"/>
    </xf>
  </cellXfs>
  <cellStyles count="14">
    <cellStyle name="Activity" xfId="10" xr:uid="{00000000-0005-0000-0000-000000000000}"/>
    <cellStyle name="Label" xfId="9" xr:uid="{00000000-0005-0000-0000-000001000000}"/>
    <cellStyle name="Percent Complete" xfId="11" xr:uid="{00000000-0005-0000-0000-000002000000}"/>
    <cellStyle name="Period Headers" xfId="13" xr:uid="{00000000-0005-0000-0000-000003000000}"/>
    <cellStyle name="Period Highlight Control" xfId="8" xr:uid="{00000000-0005-0000-0000-000004000000}"/>
    <cellStyle name="Project Headers" xfId="12" xr:uid="{00000000-0005-0000-0000-000005000000}"/>
    <cellStyle name="제목 1" xfId="1" builtinId="16"/>
    <cellStyle name="제목 1 2" xfId="5" xr:uid="{00000000-0005-0000-0000-000007000000}"/>
    <cellStyle name="제목 1 3" xfId="6" xr:uid="{00000000-0005-0000-0000-000008000000}"/>
    <cellStyle name="제목 2 2" xfId="3" xr:uid="{00000000-0005-0000-0000-000009000000}"/>
    <cellStyle name="제목 5" xfId="4" xr:uid="{00000000-0005-0000-0000-00000A000000}"/>
    <cellStyle name="표준" xfId="0" builtinId="0"/>
    <cellStyle name="표준 2" xfId="2" xr:uid="{00000000-0005-0000-0000-00000C000000}"/>
    <cellStyle name="표준 3" xfId="7" xr:uid="{00000000-0005-0000-0000-00000D000000}"/>
  </cellStyles>
  <dxfs count="52">
    <dxf>
      <fill>
        <patternFill>
          <bgColor rgb="FFFF0000"/>
        </patternFill>
      </fill>
    </dxf>
    <dxf>
      <fill>
        <patternFill>
          <bgColor rgb="FFFFFFFF"/>
        </patternFill>
      </fill>
      <border>
        <bottom style="thin">
          <color rgb="FFFFFFFF"/>
        </bottom>
        <vertical/>
        <horizontal/>
      </border>
    </dxf>
    <dxf>
      <fill>
        <patternFill>
          <bgColor rgb="FFF2F2F2"/>
        </patternFill>
      </fill>
      <border>
        <bottom style="thin">
          <color rgb="FFFFFFFF"/>
        </bottom>
        <vertical/>
        <horizontal/>
      </border>
    </dxf>
    <dxf>
      <fill>
        <patternFill>
          <bgColor rgb="FFF7DEB9"/>
        </patternFill>
      </fill>
      <border>
        <left style="thin">
          <color rgb="FFD1881B"/>
        </left>
        <right style="thin">
          <color rgb="FFD1881B"/>
        </right>
        <bottom style="thin">
          <color rgb="FFF7DEB9"/>
        </bottom>
        <vertical/>
        <horizontal/>
      </border>
    </dxf>
    <dxf>
      <fill>
        <patternFill patternType="lightUp">
          <fgColor rgb="FF735773"/>
          <bgColor auto="1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F7DEB9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CAB9CA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E9AB51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735773"/>
        </patternFill>
      </fill>
      <border>
        <bottom style="thin">
          <color rgb="FFFFFFFF"/>
        </bottom>
      </border>
    </dxf>
    <dxf>
      <fill>
        <patternFill>
          <bgColor rgb="FFFF0000"/>
        </patternFill>
      </fill>
    </dxf>
    <dxf>
      <fill>
        <patternFill>
          <bgColor rgb="FFFFFFFF"/>
        </patternFill>
      </fill>
      <border>
        <bottom style="thin">
          <color rgb="FFFFFFFF"/>
        </bottom>
        <vertical/>
        <horizontal/>
      </border>
    </dxf>
    <dxf>
      <fill>
        <patternFill>
          <bgColor rgb="FFF2F2F2"/>
        </patternFill>
      </fill>
      <border>
        <bottom style="thin">
          <color rgb="FFFFFFFF"/>
        </bottom>
        <vertical/>
        <horizontal/>
      </border>
    </dxf>
    <dxf>
      <fill>
        <patternFill>
          <bgColor rgb="FFF7DEB9"/>
        </patternFill>
      </fill>
      <border>
        <left style="thin">
          <color rgb="FFD1881B"/>
        </left>
        <right style="thin">
          <color rgb="FFD1881B"/>
        </right>
        <bottom style="thin">
          <color rgb="FFF7DEB9"/>
        </bottom>
        <vertical/>
        <horizontal/>
      </border>
    </dxf>
    <dxf>
      <fill>
        <patternFill patternType="lightUp">
          <fgColor rgb="FF735773"/>
          <bgColor auto="1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F7DEB9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CAB9CA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E9AB51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735773"/>
        </patternFill>
      </fill>
      <border>
        <bottom style="thin">
          <color rgb="FFFFFFFF"/>
        </bottom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FF"/>
        </patternFill>
      </fill>
      <border>
        <bottom style="thin">
          <color rgb="FFFFFFFF"/>
        </bottom>
        <vertical/>
        <horizontal/>
      </border>
    </dxf>
    <dxf>
      <fill>
        <patternFill>
          <bgColor rgb="FFF2F2F2"/>
        </patternFill>
      </fill>
      <border>
        <bottom style="thin">
          <color rgb="FFFFFFFF"/>
        </bottom>
        <vertical/>
        <horizontal/>
      </border>
    </dxf>
    <dxf>
      <fill>
        <patternFill>
          <bgColor rgb="FFF7DEB9"/>
        </patternFill>
      </fill>
      <border>
        <left style="thin">
          <color rgb="FFD1881B"/>
        </left>
        <right style="thin">
          <color rgb="FFD1881B"/>
        </right>
        <bottom style="thin">
          <color rgb="FFF7DEB9"/>
        </bottom>
        <vertical/>
        <horizontal/>
      </border>
    </dxf>
    <dxf>
      <fill>
        <patternFill patternType="lightUp">
          <fgColor rgb="FF735773"/>
          <bgColor auto="1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F7DEB9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CAB9CA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E9AB51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735773"/>
        </patternFill>
      </fill>
      <border>
        <bottom style="thin">
          <color rgb="FFFFFFFF"/>
        </bottom>
      </border>
    </dxf>
    <dxf>
      <fill>
        <patternFill>
          <bgColor rgb="FFF7DEB9"/>
        </patternFill>
      </fill>
      <border>
        <left style="thin">
          <color rgb="FFD1881B"/>
        </left>
        <right style="thin">
          <color rgb="FFD1881B"/>
        </right>
        <bottom style="thin">
          <color rgb="FF735773"/>
        </bottom>
        <vertical/>
        <horizontal/>
      </border>
    </dxf>
    <dxf>
      <fill>
        <patternFill>
          <bgColor rgb="FFFFFFFF"/>
        </patternFill>
      </fill>
      <border>
        <bottom style="thin">
          <color rgb="FFFFFFFF"/>
        </bottom>
        <vertical/>
        <horizontal/>
      </border>
    </dxf>
    <dxf>
      <fill>
        <patternFill>
          <bgColor rgb="FFF2F2F2"/>
        </patternFill>
      </fill>
      <border>
        <bottom style="thin">
          <color rgb="FFFFFFFF"/>
        </bottom>
        <vertical/>
        <horizontal/>
      </border>
    </dxf>
    <dxf>
      <fill>
        <patternFill>
          <bgColor rgb="FFF7DEB9"/>
        </patternFill>
      </fill>
      <border>
        <left style="thin">
          <color rgb="FFD1881B"/>
        </left>
        <right style="thin">
          <color rgb="FFD1881B"/>
        </right>
        <bottom style="thin">
          <color rgb="FFF7DEB9"/>
        </bottom>
        <vertical/>
        <horizontal/>
      </border>
    </dxf>
    <dxf>
      <fill>
        <patternFill patternType="lightUp">
          <fgColor rgb="FF735773"/>
          <bgColor auto="1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F7DEB9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CAB9CA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E9AB51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735773"/>
        </patternFill>
      </fill>
      <border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맑은 고딕"/>
        <scheme val="none"/>
      </font>
      <numFmt numFmtId="0" formatCode="General"/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46" formatCode="yyyy\/mm\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맑은 고딕"/>
        <scheme val="none"/>
      </font>
      <fill>
        <patternFill patternType="solid">
          <fgColor indexed="64"/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ill>
        <patternFill>
          <bgColor theme="4"/>
        </patternFill>
      </fill>
      <border diagonalUp="0" diagonalDown="0">
        <left/>
        <right/>
        <top style="thick">
          <color theme="0"/>
        </top>
        <bottom/>
        <vertical/>
        <horizontal/>
      </border>
    </dxf>
    <dxf>
      <font>
        <color theme="4" tint="-0.499984740745262"/>
      </font>
      <fill>
        <patternFill>
          <bgColor theme="4"/>
        </patternFill>
      </fill>
    </dxf>
    <dxf>
      <font>
        <color theme="0"/>
      </font>
      <border>
        <bottom/>
        <vertical style="thin">
          <color theme="4" tint="-0.499984740745262"/>
        </vertical>
      </border>
    </dxf>
    <dxf>
      <font>
        <b/>
        <i val="0"/>
        <color theme="5"/>
      </font>
      <border>
        <bottom style="medium">
          <color theme="1" tint="0.499984740745262"/>
        </bottom>
      </border>
    </dxf>
    <dxf>
      <fill>
        <patternFill>
          <bgColor theme="2"/>
        </patternFill>
      </fill>
      <border>
        <left style="thick">
          <color theme="3"/>
        </left>
        <right style="thick">
          <color theme="3"/>
        </right>
        <top style="thick">
          <color theme="3"/>
        </top>
        <bottom style="thick">
          <color theme="3"/>
        </bottom>
        <horizontal style="thin">
          <color theme="2" tint="-9.9948118533890809E-2"/>
        </horizontal>
      </border>
    </dxf>
  </dxfs>
  <tableStyles count="2" defaultTableStyle="TableStyleMedium2" defaultPivotStyle="PivotStyleLight16">
    <tableStyle name="Project Timeline" pivot="0" count="2" xr9:uid="{00000000-0011-0000-FFFF-FFFF00000000}">
      <tableStyleElement type="wholeTable" dxfId="51"/>
      <tableStyleElement type="headerRow" dxfId="50"/>
    </tableStyle>
    <tableStyle name="Project To Do List" pivot="0" count="5" xr9:uid="{00000000-0011-0000-FFFF-FFFF01000000}">
      <tableStyleElement type="wholeTable" dxfId="49"/>
      <tableStyleElement type="headerRow" dxfId="48"/>
      <tableStyleElement type="totalRow" dxfId="47"/>
      <tableStyleElement type="firstRowStripe" dxfId="46"/>
      <tableStyleElement type="secondRowStripe" dxfId="45"/>
    </tableStyle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/>
              <a:t>Task</a:t>
            </a:r>
            <a:r>
              <a:rPr lang="en-US" altLang="ko-KR" baseline="0"/>
              <a:t> </a:t>
            </a:r>
            <a:r>
              <a:rPr lang="ko-KR" altLang="en-US" baseline="0"/>
              <a:t>진행 현황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666666666666666E-2"/>
          <c:y val="0.28444006999125115"/>
          <c:w val="0.93611111111111112"/>
          <c:h val="0.610679498396033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478-4CE1-9727-744624B4E82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478-4CE1-9727-744624B4E82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478-4CE1-9727-744624B4E826}"/>
              </c:ext>
            </c:extLst>
          </c:dPt>
          <c:dLbls>
            <c:dLbl>
              <c:idx val="2"/>
              <c:layout>
                <c:manualLayout>
                  <c:x val="0.25277777777777777"/>
                  <c:y val="-0.185185185185185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78-4CE1-9727-744624B4E826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'Project 정보'!$F$2:$H$2</c:f>
              <c:strCache>
                <c:ptCount val="3"/>
                <c:pt idx="0">
                  <c:v>완료 Task</c:v>
                </c:pt>
                <c:pt idx="1">
                  <c:v>진행 중 Task</c:v>
                </c:pt>
                <c:pt idx="2">
                  <c:v>진행대기 Task</c:v>
                </c:pt>
              </c:strCache>
            </c:strRef>
          </c:cat>
          <c:val>
            <c:numRef>
              <c:f>'Project 정보'!$F$3:$H$3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78-4CE1-9727-744624B4E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업무 지연 </a:t>
            </a:r>
            <a:r>
              <a:rPr lang="ko-KR"/>
              <a:t>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666666666666666E-2"/>
          <c:y val="0.28444006999125115"/>
          <c:w val="0.93611111111111112"/>
          <c:h val="0.610679498396033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079-470E-A621-95EA30CD63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079-470E-A621-95EA30CD63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079-470E-A621-95EA30CD63B8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079-470E-A621-95EA30CD63B8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079-470E-A621-95EA30CD63B8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079-470E-A621-95EA30CD63B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5B9BD5"/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'Project 정보'!$K$2:$M$2</c:f>
              <c:strCache>
                <c:ptCount val="3"/>
                <c:pt idx="0">
                  <c:v>정상 Task</c:v>
                </c:pt>
                <c:pt idx="1">
                  <c:v>일정변경 Task</c:v>
                </c:pt>
                <c:pt idx="2">
                  <c:v>지연 Task</c:v>
                </c:pt>
              </c:strCache>
            </c:strRef>
          </c:cat>
          <c:val>
            <c:numRef>
              <c:f>'Project 정보'!$K$3:$M$3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79-470E-A621-95EA30CD63B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068418130426004"/>
          <c:y val="0.87970982793817443"/>
          <c:w val="0.77316197254189378"/>
          <c:h val="9.5487751531058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131711623696442E-2"/>
          <c:y val="3.0364244862405299E-3"/>
          <c:w val="0.93086521555323509"/>
          <c:h val="0.9839187928018525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'프로젝트 Milestone'!$D$21</c:f>
              <c:strCache>
                <c:ptCount val="1"/>
                <c:pt idx="0">
                  <c:v>위치</c:v>
                </c:pt>
              </c:strCache>
            </c:strRef>
          </c:tx>
          <c:spPr>
            <a:noFill/>
          </c:spPr>
          <c:invertIfNegative val="0"/>
          <c:dLbls>
            <c:dLbl>
              <c:idx val="0"/>
              <c:layout>
                <c:manualLayout>
                  <c:x val="-1.0434470648953094E-2"/>
                  <c:y val="-2.8533195127433972E-3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192037250323793E-2"/>
                      <c:h val="4.78315825042001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E72-4902-92CD-DA646FBC7072}"/>
                </c:ext>
              </c:extLst>
            </c:dLbl>
            <c:dLbl>
              <c:idx val="1"/>
              <c:layout>
                <c:manualLayout>
                  <c:x val="-2.1949012184422629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E72-4902-92CD-DA646FBC7072}"/>
                </c:ext>
              </c:extLst>
            </c:dLbl>
            <c:dLbl>
              <c:idx val="2"/>
              <c:layout>
                <c:manualLayout>
                  <c:x val="-2.1949012184422629E-17"/>
                  <c:y val="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E72-4902-92CD-DA646FBC7072}"/>
                </c:ext>
              </c:extLst>
            </c:dLbl>
            <c:dLbl>
              <c:idx val="3"/>
              <c:layout>
                <c:manualLayout>
                  <c:x val="-1.0974506092211315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E72-4902-92CD-DA646FBC7072}"/>
                </c:ext>
              </c:extLst>
            </c:dLbl>
            <c:dLbl>
              <c:idx val="4"/>
              <c:layout>
                <c:manualLayout>
                  <c:x val="-1.0974506092211315E-17"/>
                  <c:y val="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E72-4902-92CD-DA646FBC7072}"/>
                </c:ext>
              </c:extLst>
            </c:dLbl>
            <c:dLbl>
              <c:idx val="5"/>
              <c:layout>
                <c:manualLayout>
                  <c:x val="-1.0974506092211315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E72-4902-92CD-DA646FBC7072}"/>
                </c:ext>
              </c:extLst>
            </c:dLbl>
            <c:dLbl>
              <c:idx val="6"/>
              <c:layout>
                <c:manualLayout>
                  <c:x val="-1.0974506092211315E-17"/>
                  <c:y val="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E72-4902-92CD-DA646FBC7072}"/>
                </c:ext>
              </c:extLst>
            </c:dLbl>
            <c:dLbl>
              <c:idx val="7"/>
              <c:layout>
                <c:manualLayout>
                  <c:x val="-1.0974506092211315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E72-4902-92CD-DA646FBC7072}"/>
                </c:ext>
              </c:extLst>
            </c:dLbl>
            <c:dLbl>
              <c:idx val="8"/>
              <c:layout>
                <c:manualLayout>
                  <c:x val="-1.0974506092211315E-17"/>
                  <c:y val="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E72-4902-92CD-DA646FBC7072}"/>
                </c:ext>
              </c:extLst>
            </c:dLbl>
            <c:dLbl>
              <c:idx val="9"/>
              <c:layout>
                <c:manualLayout>
                  <c:x val="-1.0974506092211315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E72-4902-92CD-DA646FBC7072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vertOverflow="overflow" horzOverflow="overflow" wrap="square" lIns="38100" tIns="19050" rIns="38100" bIns="19050" anchor="ctr">
                <a:noAutofit/>
              </a:bodyPr>
              <a:lstStyle/>
              <a:p>
                <a:pPr>
                  <a:defRPr sz="1000" b="1" cap="all" spc="10" baseline="0">
                    <a:solidFill>
                      <a:srgbClr val="FF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ln w="6350">
                <a:solidFill>
                  <a:schemeClr val="tx1"/>
                </a:solidFill>
              </a:ln>
            </c:spPr>
          </c:errBars>
          <c:cat>
            <c:strRef>
              <c:f>'프로젝트 Milestone'!$C$22:$C$35</c:f>
              <c:strCache>
                <c:ptCount val="11"/>
                <c:pt idx="0">
                  <c:v>프로젝트 시작</c:v>
                </c:pt>
                <c:pt idx="1">
                  <c:v>개발 계획 확정</c:v>
                </c:pt>
                <c:pt idx="2">
                  <c:v>PDR</c:v>
                </c:pt>
                <c:pt idx="4">
                  <c:v>CDR</c:v>
                </c:pt>
                <c:pt idx="5">
                  <c:v>TRR</c:v>
                </c:pt>
                <c:pt idx="6">
                  <c:v>QA 검증 시작</c:v>
                </c:pt>
                <c:pt idx="7">
                  <c:v>EMI 검증 및 &amp; Alpha Test</c:v>
                </c:pt>
                <c:pt idx="8">
                  <c:v>QA 검증 완료</c:v>
                </c:pt>
                <c:pt idx="9">
                  <c:v>FDR</c:v>
                </c:pt>
                <c:pt idx="10">
                  <c:v>프로젝트 종료</c:v>
                </c:pt>
              </c:strCache>
            </c:strRef>
          </c:cat>
          <c:val>
            <c:numRef>
              <c:f>'프로젝트 Milestone'!$D$22:$D$35</c:f>
              <c:numCache>
                <c:formatCode>General</c:formatCode>
                <c:ptCount val="14"/>
                <c:pt idx="0">
                  <c:v>20</c:v>
                </c:pt>
                <c:pt idx="1">
                  <c:v>10</c:v>
                </c:pt>
                <c:pt idx="2">
                  <c:v>-10</c:v>
                </c:pt>
                <c:pt idx="3">
                  <c:v>0</c:v>
                </c:pt>
                <c:pt idx="4">
                  <c:v>-15</c:v>
                </c:pt>
                <c:pt idx="5">
                  <c:v>15</c:v>
                </c:pt>
                <c:pt idx="6">
                  <c:v>-15</c:v>
                </c:pt>
                <c:pt idx="7">
                  <c:v>15</c:v>
                </c:pt>
                <c:pt idx="8">
                  <c:v>-15</c:v>
                </c:pt>
                <c:pt idx="9">
                  <c:v>20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72-4902-92CD-DA646FBC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6241776"/>
        <c:axId val="2102533888"/>
      </c:barChart>
      <c:lineChart>
        <c:grouping val="standard"/>
        <c:varyColors val="0"/>
        <c:ser>
          <c:idx val="0"/>
          <c:order val="0"/>
          <c:tx>
            <c:strRef>
              <c:f>'프로젝트 Milestone'!$B$21</c:f>
              <c:strCache>
                <c:ptCount val="1"/>
                <c:pt idx="0">
                  <c:v>날짜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  <a:ln w="76200">
                <a:solidFill>
                  <a:srgbClr val="0070C0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5"/>
          </c:errBars>
          <c:cat>
            <c:strRef>
              <c:f>'프로젝트 Milestone'!$B$22:$B$32</c:f>
              <c:strCache>
                <c:ptCount val="11"/>
                <c:pt idx="0">
                  <c:v>2020/10/08</c:v>
                </c:pt>
                <c:pt idx="1">
                  <c:v>2020/10/10</c:v>
                </c:pt>
                <c:pt idx="2">
                  <c:v>2020/10/12</c:v>
                </c:pt>
                <c:pt idx="3">
                  <c:v>2020/10/13</c:v>
                </c:pt>
                <c:pt idx="4">
                  <c:v>2020/10/14</c:v>
                </c:pt>
                <c:pt idx="5">
                  <c:v>2020/10/15</c:v>
                </c:pt>
                <c:pt idx="6">
                  <c:v>2020/20/16</c:v>
                </c:pt>
                <c:pt idx="7">
                  <c:v>2020/10/20</c:v>
                </c:pt>
                <c:pt idx="8">
                  <c:v>2020/10/22</c:v>
                </c:pt>
                <c:pt idx="9">
                  <c:v>2020/10/25</c:v>
                </c:pt>
                <c:pt idx="10">
                  <c:v>2020/10/30</c:v>
                </c:pt>
              </c:strCache>
            </c:strRef>
          </c:cat>
          <c:val>
            <c:numRef>
              <c:f>'프로젝트 Milestone'!$E$22:$E$32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E72-4902-92CD-DA646FBC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535520"/>
        <c:axId val="2102533344"/>
      </c:lineChart>
      <c:dateAx>
        <c:axId val="2102535520"/>
        <c:scaling>
          <c:orientation val="minMax"/>
        </c:scaling>
        <c:delete val="0"/>
        <c:axPos val="b"/>
        <c:numFmt formatCode="m&quot;월&quot;\ d&quot;일&quot;;@" sourceLinked="0"/>
        <c:majorTickMark val="cross"/>
        <c:minorTickMark val="in"/>
        <c:tickLblPos val="nextTo"/>
        <c:spPr>
          <a:noFill/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/>
          <a:lstStyle/>
          <a:p>
            <a:pPr>
              <a:defRPr sz="1000" b="1">
                <a:solidFill>
                  <a:schemeClr val="tx1"/>
                </a:solidFill>
                <a:latin typeface="+mn-lt"/>
              </a:defRPr>
            </a:pPr>
            <a:endParaRPr lang="ko-KR"/>
          </a:p>
        </c:txPr>
        <c:crossAx val="2102533344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21025333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02535520"/>
        <c:crosses val="autoZero"/>
        <c:crossBetween val="midCat"/>
      </c:valAx>
      <c:valAx>
        <c:axId val="210253388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26241776"/>
        <c:crosses val="max"/>
        <c:crossBetween val="between"/>
      </c:valAx>
      <c:catAx>
        <c:axId val="1826241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2533888"/>
        <c:crosses val="autoZero"/>
        <c:auto val="1"/>
        <c:lblAlgn val="ctr"/>
        <c:lblOffset val="100"/>
        <c:noMultiLvlLbl val="0"/>
      </c:catAx>
      <c:spPr>
        <a:noFill/>
      </c:spPr>
    </c:plotArea>
    <c:plotVisOnly val="0"/>
    <c:dispBlanksAs val="gap"/>
    <c:showDLblsOverMax val="0"/>
  </c:chart>
  <c:spPr>
    <a:solidFill>
      <a:srgbClr val="FFFFFF"/>
    </a:solidFill>
    <a:ln>
      <a:solidFill>
        <a:schemeClr val="tx1"/>
      </a:solidFill>
    </a:ln>
  </c:sp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6" fmlaLink="period_selected" max="60" min="1" page="10" val="4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2484</xdr:colOff>
      <xdr:row>6</xdr:row>
      <xdr:rowOff>38099</xdr:rowOff>
    </xdr:from>
    <xdr:to>
      <xdr:col>9</xdr:col>
      <xdr:colOff>298174</xdr:colOff>
      <xdr:row>20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8283</xdr:colOff>
      <xdr:row>6</xdr:row>
      <xdr:rowOff>43733</xdr:rowOff>
    </xdr:from>
    <xdr:to>
      <xdr:col>14</xdr:col>
      <xdr:colOff>662609</xdr:colOff>
      <xdr:row>19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21906</xdr:rowOff>
    </xdr:from>
    <xdr:to>
      <xdr:col>18</xdr:col>
      <xdr:colOff>53340</xdr:colOff>
      <xdr:row>18</xdr:row>
      <xdr:rowOff>205740</xdr:rowOff>
    </xdr:to>
    <xdr:graphicFrame macro="">
      <xdr:nvGraphicFramePr>
        <xdr:cNvPr id="2" name="프로젝트 시간 표시 막대" descr="해당하는 기간에서 각 프로젝트가 차지하는 위치를 표시하는 꺾은선형 차트" title="프로젝트 시간 표시 막대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68580</xdr:colOff>
          <xdr:row>2</xdr:row>
          <xdr:rowOff>30480</xdr:rowOff>
        </xdr:from>
        <xdr:to>
          <xdr:col>25</xdr:col>
          <xdr:colOff>0</xdr:colOff>
          <xdr:row>2</xdr:row>
          <xdr:rowOff>259080</xdr:rowOff>
        </xdr:to>
        <xdr:sp macro="" textlink="">
          <xdr:nvSpPr>
            <xdr:cNvPr id="5121" name="회전자 5" descr="기간 강조 표시 회전자 컨트롤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E\AppData\Local\Microsoft\Windows\Temporary%20Internet%20Files\Content.Outlook\PL9I30PO\v100GX%20MarkII%20&#50629;&#47924;%20&#51068;&#51221;&#5436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&#51452;&#44036;&#50629;&#47924;&#48372;&#44256;%20&#50577;&#49885;\Project%20management\&#54532;&#47196;&#51229;&#53944;%20&#54624;%20&#51068;%20&#47785;&#47197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List"/>
      <sheetName val="주간 업무 현황"/>
      <sheetName val="Schedule"/>
      <sheetName val="Action Items"/>
      <sheetName val="작업 내용"/>
      <sheetName val="설정"/>
      <sheetName val="v100GX MarkII 업무 일정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로젝트 1 할 일 목록"/>
      <sheetName val="설정 및 계산"/>
    </sheetNames>
    <sheetDataSet>
      <sheetData sheetId="0"/>
      <sheetData sheetId="1">
        <row r="18">
          <cell r="C18" t="str">
            <v/>
          </cell>
        </row>
        <row r="19">
          <cell r="C19" t="str">
            <v/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Details" displayName="ProjectDetails" ref="B21:E32" totalsRowShown="0" headerRowDxfId="44" dataDxfId="43">
  <tableColumns count="4">
    <tableColumn id="1" xr3:uid="{00000000-0010-0000-0000-000001000000}" name="날짜" dataDxfId="42"/>
    <tableColumn id="2" xr3:uid="{00000000-0010-0000-0000-000002000000}" name="중요 시점" dataDxfId="41"/>
    <tableColumn id="4" xr3:uid="{00000000-0010-0000-0000-000004000000}" name="위치" dataDxfId="40"/>
    <tableColumn id="5" xr3:uid="{00000000-0010-0000-0000-000005000000}" name="BASELINE" dataDxfId="39">
      <calculatedColumnFormula>1</calculatedColumnFormula>
    </tableColumn>
  </tableColumns>
  <tableStyleInfo name="Project Timeline" showFirstColumn="0" showLastColumn="0" showRowStripes="1" showColumnStripes="0"/>
  <extLst>
    <ext xmlns:x14="http://schemas.microsoft.com/office/spreadsheetml/2009/9/main" uri="{504A1905-F514-4f6f-8877-14C23A59335A}">
      <x14:table altText="프로젝트 세부 정보" altTextSummary="프로젝트의 날짜, 중요 시점, 차트 위치를 표시하는 목록"/>
    </ext>
  </extLst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N32"/>
  <sheetViews>
    <sheetView zoomScale="85" zoomScaleNormal="85" workbookViewId="0">
      <selection activeCell="C17" sqref="C17"/>
    </sheetView>
  </sheetViews>
  <sheetFormatPr defaultRowHeight="17.399999999999999" x14ac:dyDescent="0.4"/>
  <cols>
    <col min="1" max="1" width="5.3984375" customWidth="1"/>
    <col min="2" max="2" width="26.09765625" customWidth="1"/>
    <col min="3" max="3" width="27.19921875" customWidth="1"/>
    <col min="4" max="5" width="2.69921875" customWidth="1"/>
    <col min="6" max="9" width="12.69921875" customWidth="1"/>
    <col min="10" max="10" width="5" customWidth="1"/>
    <col min="11" max="14" width="12.69921875" customWidth="1"/>
  </cols>
  <sheetData>
    <row r="1" spans="2:14" ht="18" thickBot="1" x14ac:dyDescent="0.45">
      <c r="F1" s="85" t="s">
        <v>65</v>
      </c>
      <c r="G1" s="85"/>
      <c r="H1" s="85"/>
      <c r="I1" s="85"/>
      <c r="K1" s="85" t="s">
        <v>64</v>
      </c>
      <c r="L1" s="85"/>
      <c r="M1" s="85"/>
      <c r="N1" s="85"/>
    </row>
    <row r="2" spans="2:14" ht="19.8" thickBot="1" x14ac:dyDescent="0.45">
      <c r="B2" s="53" t="s">
        <v>0</v>
      </c>
      <c r="C2" s="25"/>
      <c r="F2" s="57" t="s">
        <v>58</v>
      </c>
      <c r="G2" s="57" t="s">
        <v>59</v>
      </c>
      <c r="H2" s="57" t="s">
        <v>60</v>
      </c>
      <c r="I2" s="57" t="s">
        <v>57</v>
      </c>
      <c r="J2" s="57"/>
      <c r="K2" s="57" t="s">
        <v>63</v>
      </c>
      <c r="L2" s="57" t="s">
        <v>62</v>
      </c>
      <c r="M2" s="57" t="s">
        <v>61</v>
      </c>
      <c r="N2" s="57" t="s">
        <v>57</v>
      </c>
    </row>
    <row r="3" spans="2:14" ht="18" thickBot="1" x14ac:dyDescent="0.45">
      <c r="F3" s="56">
        <f>COUNTIF('프로젝트 진행사항 '!$K:$K,"완료")</f>
        <v>3</v>
      </c>
      <c r="G3" s="56">
        <f>COUNTIF('프로젝트 진행사항 '!$K:$K,"진행 중")</f>
        <v>3</v>
      </c>
      <c r="H3" s="56">
        <f>COUNTIF('프로젝트 진행사항 '!$K:$K,"진행 대기")</f>
        <v>112</v>
      </c>
      <c r="I3" s="56">
        <f>SUM(F3:H3)</f>
        <v>118</v>
      </c>
      <c r="J3" s="56"/>
      <c r="K3" s="56">
        <f>COUNTIF('프로젝트 진행사항 '!$J:$J,"정상")</f>
        <v>1</v>
      </c>
      <c r="L3" s="56">
        <f>COUNTIF('프로젝트 진행사항 '!$J:$J,"일정변경")</f>
        <v>0</v>
      </c>
      <c r="M3" s="56">
        <f>COUNTIF('프로젝트 진행사항 '!$J:$J,"지연")</f>
        <v>0</v>
      </c>
      <c r="N3" s="56">
        <f>SUM(K3:M3)</f>
        <v>1</v>
      </c>
    </row>
    <row r="4" spans="2:14" ht="19.8" thickBot="1" x14ac:dyDescent="0.45">
      <c r="B4" s="53" t="s">
        <v>1</v>
      </c>
      <c r="C4" s="25"/>
    </row>
    <row r="5" spans="2:14" ht="18" thickBot="1" x14ac:dyDescent="0.45"/>
    <row r="6" spans="2:14" ht="19.8" thickBot="1" x14ac:dyDescent="0.45">
      <c r="B6" s="53" t="s">
        <v>2</v>
      </c>
      <c r="C6" s="25"/>
    </row>
    <row r="7" spans="2:14" ht="18" thickBot="1" x14ac:dyDescent="0.45"/>
    <row r="8" spans="2:14" ht="19.8" thickBot="1" x14ac:dyDescent="0.45">
      <c r="B8" s="53" t="s">
        <v>13</v>
      </c>
      <c r="C8" s="25"/>
    </row>
    <row r="9" spans="2:14" ht="18" thickBot="1" x14ac:dyDescent="0.45"/>
    <row r="10" spans="2:14" ht="19.8" thickBot="1" x14ac:dyDescent="0.45">
      <c r="B10" s="54" t="s">
        <v>14</v>
      </c>
      <c r="C10" s="25"/>
    </row>
    <row r="12" spans="2:14" ht="18" thickBot="1" x14ac:dyDescent="0.45"/>
    <row r="13" spans="2:14" ht="28.2" thickBot="1" x14ac:dyDescent="0.45">
      <c r="B13" s="16" t="s">
        <v>55</v>
      </c>
    </row>
    <row r="14" spans="2:14" ht="18" thickBot="1" x14ac:dyDescent="0.45">
      <c r="B14" s="17" t="s">
        <v>19</v>
      </c>
    </row>
    <row r="15" spans="2:14" x14ac:dyDescent="0.4">
      <c r="B15" s="18"/>
    </row>
    <row r="16" spans="2:14" x14ac:dyDescent="0.4">
      <c r="B16" s="19"/>
    </row>
    <row r="17" spans="2:2" x14ac:dyDescent="0.4">
      <c r="B17" s="19"/>
    </row>
    <row r="18" spans="2:2" x14ac:dyDescent="0.4">
      <c r="B18" s="19"/>
    </row>
    <row r="19" spans="2:2" x14ac:dyDescent="0.4">
      <c r="B19" s="19"/>
    </row>
    <row r="20" spans="2:2" x14ac:dyDescent="0.4">
      <c r="B20" s="19"/>
    </row>
    <row r="21" spans="2:2" x14ac:dyDescent="0.4">
      <c r="B21" s="19"/>
    </row>
    <row r="22" spans="2:2" x14ac:dyDescent="0.4">
      <c r="B22" s="75"/>
    </row>
    <row r="23" spans="2:2" x14ac:dyDescent="0.4">
      <c r="B23" s="75"/>
    </row>
    <row r="24" spans="2:2" x14ac:dyDescent="0.4">
      <c r="B24" s="75"/>
    </row>
    <row r="25" spans="2:2" x14ac:dyDescent="0.4">
      <c r="B25" s="75"/>
    </row>
    <row r="26" spans="2:2" x14ac:dyDescent="0.4">
      <c r="B26" s="75"/>
    </row>
    <row r="27" spans="2:2" x14ac:dyDescent="0.4">
      <c r="B27" s="75"/>
    </row>
    <row r="28" spans="2:2" x14ac:dyDescent="0.4">
      <c r="B28" s="75"/>
    </row>
    <row r="29" spans="2:2" x14ac:dyDescent="0.4">
      <c r="B29" s="75"/>
    </row>
    <row r="30" spans="2:2" x14ac:dyDescent="0.4">
      <c r="B30" s="20"/>
    </row>
    <row r="31" spans="2:2" x14ac:dyDescent="0.4">
      <c r="B31" s="20"/>
    </row>
    <row r="32" spans="2:2" x14ac:dyDescent="0.4">
      <c r="B32" s="20"/>
    </row>
  </sheetData>
  <mergeCells count="2">
    <mergeCell ref="F1:I1"/>
    <mergeCell ref="K1:N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3"/>
    <pageSetUpPr autoPageBreaks="0" fitToPage="1"/>
  </sheetPr>
  <dimension ref="B1:N77"/>
  <sheetViews>
    <sheetView showGridLines="0" zoomScaleNormal="100" workbookViewId="0">
      <selection activeCell="N28" sqref="N28"/>
    </sheetView>
  </sheetViews>
  <sheetFormatPr defaultColWidth="8.19921875" defaultRowHeight="19.5" customHeight="1" x14ac:dyDescent="0.4"/>
  <cols>
    <col min="1" max="1" width="3.19921875" style="1" customWidth="1"/>
    <col min="2" max="2" width="14" style="1" customWidth="1"/>
    <col min="3" max="3" width="32.09765625" style="1" customWidth="1"/>
    <col min="4" max="4" width="12" style="1" customWidth="1"/>
    <col min="5" max="5" width="11.09765625" style="1" hidden="1" customWidth="1"/>
    <col min="6" max="6" width="11.19921875" style="1" customWidth="1"/>
    <col min="7" max="7" width="10.19921875" style="1" customWidth="1"/>
    <col min="8" max="11" width="8.19921875" style="1"/>
    <col min="12" max="12" width="9.59765625" style="1" customWidth="1"/>
    <col min="13" max="13" width="9.19921875" style="1" customWidth="1"/>
    <col min="14" max="14" width="8.19921875" style="1" customWidth="1"/>
    <col min="15" max="16384" width="8.19921875" style="1"/>
  </cols>
  <sheetData>
    <row r="1" spans="2:14" s="2" customFormat="1" ht="28.5" customHeight="1" x14ac:dyDescent="0.55000000000000004">
      <c r="B1" s="15" t="s">
        <v>12</v>
      </c>
    </row>
    <row r="2" spans="2:14" s="2" customFormat="1" ht="19.5" customHeight="1" x14ac:dyDescent="0.4">
      <c r="B2" s="3" t="s">
        <v>3</v>
      </c>
    </row>
    <row r="3" spans="2:14" s="2" customFormat="1" ht="19.5" customHeight="1" x14ac:dyDescent="0.4"/>
    <row r="4" spans="2:14" s="2" customFormat="1" ht="19.5" customHeight="1" x14ac:dyDescent="0.4"/>
    <row r="5" spans="2:14" s="2" customFormat="1" ht="19.5" customHeight="1" x14ac:dyDescent="0.4"/>
    <row r="6" spans="2:14" s="2" customFormat="1" ht="19.5" customHeight="1" x14ac:dyDescent="0.4"/>
    <row r="7" spans="2:14" s="2" customFormat="1" ht="19.5" customHeight="1" x14ac:dyDescent="0.4">
      <c r="F7" s="4"/>
    </row>
    <row r="8" spans="2:14" s="2" customFormat="1" ht="19.5" customHeight="1" x14ac:dyDescent="0.4">
      <c r="F8" s="4"/>
    </row>
    <row r="9" spans="2:14" s="2" customFormat="1" ht="19.5" customHeight="1" x14ac:dyDescent="0.4">
      <c r="F9" s="4"/>
    </row>
    <row r="10" spans="2:14" s="2" customFormat="1" ht="19.5" customHeight="1" x14ac:dyDescent="0.4">
      <c r="F10" s="4"/>
    </row>
    <row r="11" spans="2:14" s="2" customFormat="1" ht="19.5" customHeight="1" x14ac:dyDescent="0.4">
      <c r="F11" s="4"/>
    </row>
    <row r="12" spans="2:14" s="2" customFormat="1" ht="19.5" customHeight="1" x14ac:dyDescent="0.4">
      <c r="F12" s="4"/>
    </row>
    <row r="13" spans="2:14" s="2" customFormat="1" ht="19.5" customHeight="1" x14ac:dyDescent="0.35">
      <c r="F13" s="4"/>
      <c r="I13" s="5"/>
      <c r="K13" s="5"/>
      <c r="M13" s="5"/>
      <c r="N13" s="6"/>
    </row>
    <row r="14" spans="2:14" s="2" customFormat="1" ht="19.5" customHeight="1" x14ac:dyDescent="0.35">
      <c r="F14" s="4"/>
      <c r="I14" s="5"/>
      <c r="K14" s="5"/>
      <c r="M14" s="5"/>
      <c r="N14" s="6"/>
    </row>
    <row r="15" spans="2:14" s="2" customFormat="1" ht="19.5" customHeight="1" x14ac:dyDescent="0.35">
      <c r="F15" s="4"/>
      <c r="I15" s="5"/>
      <c r="K15" s="5"/>
      <c r="M15" s="5"/>
      <c r="N15" s="6"/>
    </row>
    <row r="16" spans="2:14" s="2" customFormat="1" ht="19.5" customHeight="1" x14ac:dyDescent="0.35">
      <c r="F16" s="4"/>
      <c r="I16" s="5"/>
      <c r="K16" s="5"/>
      <c r="M16" s="5"/>
      <c r="N16" s="6"/>
    </row>
    <row r="17" spans="2:14" s="2" customFormat="1" ht="24" customHeight="1" x14ac:dyDescent="0.35">
      <c r="I17" s="5"/>
      <c r="K17" s="5"/>
      <c r="M17" s="5"/>
      <c r="N17" s="6"/>
    </row>
    <row r="18" spans="2:14" s="2" customFormat="1" ht="24" customHeight="1" x14ac:dyDescent="0.35">
      <c r="I18" s="5"/>
      <c r="K18" s="5"/>
      <c r="M18" s="5"/>
      <c r="N18" s="6"/>
    </row>
    <row r="19" spans="2:14" s="2" customFormat="1" ht="24" customHeight="1" thickBot="1" x14ac:dyDescent="0.4">
      <c r="I19" s="5"/>
      <c r="K19" s="5"/>
      <c r="M19" s="5"/>
      <c r="N19" s="6"/>
    </row>
    <row r="20" spans="2:14" s="2" customFormat="1" ht="24" customHeight="1" thickTop="1" x14ac:dyDescent="0.35">
      <c r="B20" s="7" t="s">
        <v>9</v>
      </c>
      <c r="C20" s="8"/>
      <c r="D20" s="9"/>
      <c r="I20" s="5"/>
      <c r="K20" s="5"/>
      <c r="M20" s="5"/>
      <c r="N20" s="6"/>
    </row>
    <row r="21" spans="2:14" s="2" customFormat="1" ht="24" customHeight="1" x14ac:dyDescent="0.35">
      <c r="B21" s="12" t="s">
        <v>4</v>
      </c>
      <c r="C21" s="12" t="s">
        <v>10</v>
      </c>
      <c r="D21" s="12" t="s">
        <v>5</v>
      </c>
      <c r="E21" s="2" t="s">
        <v>6</v>
      </c>
      <c r="I21" s="5"/>
      <c r="K21" s="5"/>
      <c r="L21" s="4"/>
      <c r="M21" s="5"/>
      <c r="N21" s="6"/>
    </row>
    <row r="22" spans="2:14" s="2" customFormat="1" ht="19.5" customHeight="1" x14ac:dyDescent="0.35">
      <c r="B22" s="13">
        <v>44112</v>
      </c>
      <c r="C22" s="12" t="s">
        <v>7</v>
      </c>
      <c r="D22" s="12">
        <v>20</v>
      </c>
      <c r="E22" s="2">
        <f>1</f>
        <v>1</v>
      </c>
      <c r="I22" s="5"/>
      <c r="K22" s="5"/>
      <c r="M22" s="5"/>
      <c r="N22" s="6"/>
    </row>
    <row r="23" spans="2:14" s="2" customFormat="1" ht="19.5" customHeight="1" x14ac:dyDescent="0.35">
      <c r="B23" s="13">
        <v>44114</v>
      </c>
      <c r="C23" s="12" t="s">
        <v>11</v>
      </c>
      <c r="D23" s="12">
        <v>10</v>
      </c>
      <c r="E23" s="2">
        <f>1</f>
        <v>1</v>
      </c>
      <c r="I23" s="5"/>
      <c r="K23" s="5"/>
      <c r="L23" s="4"/>
      <c r="M23" s="5"/>
      <c r="N23" s="6"/>
    </row>
    <row r="24" spans="2:14" s="2" customFormat="1" ht="19.5" customHeight="1" x14ac:dyDescent="0.35">
      <c r="B24" s="13">
        <v>44116</v>
      </c>
      <c r="C24" s="12" t="s">
        <v>15</v>
      </c>
      <c r="D24" s="12">
        <v>-10</v>
      </c>
      <c r="E24" s="2">
        <f>1</f>
        <v>1</v>
      </c>
      <c r="I24" s="5"/>
      <c r="K24" s="5"/>
      <c r="M24" s="5"/>
      <c r="N24" s="6"/>
    </row>
    <row r="25" spans="2:14" s="2" customFormat="1" ht="19.5" customHeight="1" x14ac:dyDescent="0.35">
      <c r="B25" s="13">
        <v>44117</v>
      </c>
      <c r="C25" s="12"/>
      <c r="D25" s="12">
        <v>0</v>
      </c>
      <c r="E25" s="2">
        <f>1</f>
        <v>1</v>
      </c>
      <c r="I25" s="5"/>
      <c r="K25" s="5"/>
      <c r="M25" s="5"/>
      <c r="N25" s="6"/>
    </row>
    <row r="26" spans="2:14" s="2" customFormat="1" ht="19.5" customHeight="1" x14ac:dyDescent="0.35">
      <c r="B26" s="13">
        <v>44118</v>
      </c>
      <c r="C26" s="12" t="s">
        <v>16</v>
      </c>
      <c r="D26" s="12">
        <v>-15</v>
      </c>
      <c r="E26" s="2">
        <f>1</f>
        <v>1</v>
      </c>
      <c r="I26" s="5"/>
      <c r="K26" s="5"/>
      <c r="M26" s="5"/>
      <c r="N26" s="6"/>
    </row>
    <row r="27" spans="2:14" s="2" customFormat="1" ht="19.5" customHeight="1" x14ac:dyDescent="0.35">
      <c r="B27" s="13">
        <v>44119</v>
      </c>
      <c r="C27" s="12" t="s">
        <v>83</v>
      </c>
      <c r="D27" s="12">
        <v>15</v>
      </c>
      <c r="E27" s="2">
        <f>1</f>
        <v>1</v>
      </c>
      <c r="I27" s="5"/>
      <c r="K27" s="5"/>
      <c r="M27" s="5"/>
      <c r="N27" s="6"/>
    </row>
    <row r="28" spans="2:14" s="2" customFormat="1" ht="19.5" customHeight="1" x14ac:dyDescent="0.35">
      <c r="B28" s="13" t="s">
        <v>192</v>
      </c>
      <c r="C28" s="12" t="s">
        <v>85</v>
      </c>
      <c r="D28" s="12">
        <v>-15</v>
      </c>
      <c r="E28" s="2">
        <f>1</f>
        <v>1</v>
      </c>
      <c r="I28" s="5"/>
      <c r="K28" s="5"/>
      <c r="M28" s="5"/>
      <c r="N28" s="6"/>
    </row>
    <row r="29" spans="2:14" s="2" customFormat="1" ht="19.5" customHeight="1" x14ac:dyDescent="0.4">
      <c r="B29" s="13">
        <v>44124</v>
      </c>
      <c r="C29" s="12" t="s">
        <v>84</v>
      </c>
      <c r="D29" s="12">
        <v>15</v>
      </c>
      <c r="E29" s="10">
        <f>1</f>
        <v>1</v>
      </c>
    </row>
    <row r="30" spans="2:14" s="2" customFormat="1" ht="19.5" customHeight="1" x14ac:dyDescent="0.4">
      <c r="B30" s="13">
        <v>44126</v>
      </c>
      <c r="C30" s="12" t="s">
        <v>17</v>
      </c>
      <c r="D30" s="12">
        <v>-15</v>
      </c>
      <c r="E30" s="10">
        <f>1</f>
        <v>1</v>
      </c>
    </row>
    <row r="31" spans="2:14" s="2" customFormat="1" ht="19.5" customHeight="1" x14ac:dyDescent="0.4">
      <c r="B31" s="13">
        <v>44129</v>
      </c>
      <c r="C31" s="12" t="s">
        <v>18</v>
      </c>
      <c r="D31" s="12">
        <v>20</v>
      </c>
      <c r="E31" s="10">
        <f>1</f>
        <v>1</v>
      </c>
      <c r="H31" s="11"/>
    </row>
    <row r="32" spans="2:14" s="2" customFormat="1" ht="19.5" customHeight="1" x14ac:dyDescent="0.4">
      <c r="B32" s="13">
        <v>44134</v>
      </c>
      <c r="C32" s="12" t="s">
        <v>8</v>
      </c>
      <c r="D32" s="14">
        <v>15</v>
      </c>
      <c r="E32" s="10">
        <f>1</f>
        <v>1</v>
      </c>
    </row>
    <row r="33" spans="2:8" s="2" customFormat="1" ht="19.5" customHeight="1" x14ac:dyDescent="0.4">
      <c r="B33" s="13"/>
      <c r="C33" s="12"/>
      <c r="D33" s="12"/>
      <c r="E33" s="10">
        <f>1</f>
        <v>1</v>
      </c>
      <c r="H33" s="11"/>
    </row>
    <row r="34" spans="2:8" s="2" customFormat="1" ht="19.5" customHeight="1" x14ac:dyDescent="0.4">
      <c r="B34" s="13"/>
      <c r="C34" s="12"/>
      <c r="D34" s="12"/>
      <c r="E34" s="10">
        <f>1</f>
        <v>1</v>
      </c>
      <c r="H34" s="11"/>
    </row>
    <row r="35" spans="2:8" s="2" customFormat="1" ht="19.5" customHeight="1" x14ac:dyDescent="0.4"/>
    <row r="36" spans="2:8" s="2" customFormat="1" ht="19.5" customHeight="1" x14ac:dyDescent="0.4"/>
    <row r="37" spans="2:8" s="2" customFormat="1" ht="19.5" customHeight="1" x14ac:dyDescent="0.4"/>
    <row r="38" spans="2:8" s="2" customFormat="1" ht="19.5" customHeight="1" x14ac:dyDescent="0.4"/>
    <row r="39" spans="2:8" s="2" customFormat="1" ht="19.5" customHeight="1" x14ac:dyDescent="0.4"/>
    <row r="40" spans="2:8" s="2" customFormat="1" ht="19.5" customHeight="1" x14ac:dyDescent="0.4"/>
    <row r="41" spans="2:8" s="2" customFormat="1" ht="19.5" customHeight="1" x14ac:dyDescent="0.4"/>
    <row r="42" spans="2:8" s="2" customFormat="1" ht="19.5" customHeight="1" x14ac:dyDescent="0.4"/>
    <row r="43" spans="2:8" s="2" customFormat="1" ht="19.5" customHeight="1" x14ac:dyDescent="0.4"/>
    <row r="44" spans="2:8" s="2" customFormat="1" ht="19.5" customHeight="1" x14ac:dyDescent="0.4"/>
    <row r="45" spans="2:8" s="2" customFormat="1" ht="19.5" customHeight="1" x14ac:dyDescent="0.4"/>
    <row r="46" spans="2:8" s="2" customFormat="1" ht="19.5" customHeight="1" x14ac:dyDescent="0.4"/>
    <row r="47" spans="2:8" s="2" customFormat="1" ht="19.5" customHeight="1" x14ac:dyDescent="0.4"/>
    <row r="48" spans="2:8" s="2" customFormat="1" ht="19.5" customHeight="1" x14ac:dyDescent="0.4"/>
    <row r="49" s="2" customFormat="1" ht="19.5" customHeight="1" x14ac:dyDescent="0.4"/>
    <row r="50" s="2" customFormat="1" ht="19.5" customHeight="1" x14ac:dyDescent="0.4"/>
    <row r="51" s="2" customFormat="1" ht="19.5" customHeight="1" x14ac:dyDescent="0.4"/>
    <row r="52" s="2" customFormat="1" ht="19.5" customHeight="1" x14ac:dyDescent="0.4"/>
    <row r="53" s="2" customFormat="1" ht="19.5" customHeight="1" x14ac:dyDescent="0.4"/>
    <row r="54" s="2" customFormat="1" ht="19.5" customHeight="1" x14ac:dyDescent="0.4"/>
    <row r="55" s="2" customFormat="1" ht="19.5" customHeight="1" x14ac:dyDescent="0.4"/>
    <row r="56" s="2" customFormat="1" ht="19.5" customHeight="1" x14ac:dyDescent="0.4"/>
    <row r="57" s="2" customFormat="1" ht="19.5" customHeight="1" x14ac:dyDescent="0.4"/>
    <row r="58" s="2" customFormat="1" ht="19.5" customHeight="1" x14ac:dyDescent="0.4"/>
    <row r="59" s="2" customFormat="1" ht="19.5" customHeight="1" x14ac:dyDescent="0.4"/>
    <row r="60" s="2" customFormat="1" ht="19.5" customHeight="1" x14ac:dyDescent="0.4"/>
    <row r="61" s="2" customFormat="1" ht="19.5" customHeight="1" x14ac:dyDescent="0.4"/>
    <row r="62" s="2" customFormat="1" ht="19.5" customHeight="1" x14ac:dyDescent="0.4"/>
    <row r="63" s="2" customFormat="1" ht="19.5" customHeight="1" x14ac:dyDescent="0.4"/>
    <row r="64" s="2" customFormat="1" ht="19.5" customHeight="1" x14ac:dyDescent="0.4"/>
    <row r="65" s="2" customFormat="1" ht="19.5" customHeight="1" x14ac:dyDescent="0.4"/>
    <row r="66" s="2" customFormat="1" ht="19.5" customHeight="1" x14ac:dyDescent="0.4"/>
    <row r="67" s="2" customFormat="1" ht="19.5" customHeight="1" x14ac:dyDescent="0.4"/>
    <row r="68" s="2" customFormat="1" ht="19.5" customHeight="1" x14ac:dyDescent="0.4"/>
    <row r="69" s="2" customFormat="1" ht="19.5" customHeight="1" x14ac:dyDescent="0.4"/>
    <row r="70" s="2" customFormat="1" ht="19.5" customHeight="1" x14ac:dyDescent="0.4"/>
    <row r="71" s="2" customFormat="1" ht="19.5" customHeight="1" x14ac:dyDescent="0.4"/>
    <row r="72" s="2" customFormat="1" ht="19.5" customHeight="1" x14ac:dyDescent="0.4"/>
    <row r="73" s="2" customFormat="1" ht="19.5" customHeight="1" x14ac:dyDescent="0.4"/>
    <row r="74" s="2" customFormat="1" ht="19.5" customHeight="1" x14ac:dyDescent="0.4"/>
    <row r="75" s="2" customFormat="1" ht="19.5" customHeight="1" x14ac:dyDescent="0.4"/>
    <row r="76" s="2" customFormat="1" ht="19.5" customHeight="1" x14ac:dyDescent="0.4"/>
    <row r="77" s="2" customFormat="1" ht="19.5" customHeight="1" x14ac:dyDescent="0.4"/>
  </sheetData>
  <phoneticPr fontId="2" type="noConversion"/>
  <pageMargins left="0.7" right="0.7" top="0.75" bottom="0.75" header="0.3" footer="0.3"/>
  <pageSetup scale="78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CA129"/>
  <sheetViews>
    <sheetView showGridLines="0" tabSelected="1" zoomScale="70" zoomScaleNormal="70" workbookViewId="0">
      <pane xSplit="17" ySplit="8" topLeftCell="R31" activePane="bottomRight" state="frozen"/>
      <selection activeCell="E11" sqref="E11"/>
      <selection pane="topRight" activeCell="E11" sqref="E11"/>
      <selection pane="bottomLeft" activeCell="E11" sqref="E11"/>
      <selection pane="bottomRight" activeCell="D43" sqref="D43"/>
    </sheetView>
  </sheetViews>
  <sheetFormatPr defaultColWidth="2.5" defaultRowHeight="20.399999999999999" outlineLevelCol="2" x14ac:dyDescent="0.45"/>
  <cols>
    <col min="1" max="2" width="2.3984375" style="27" hidden="1" customWidth="1"/>
    <col min="3" max="3" width="7.3984375" style="27" hidden="1" customWidth="1"/>
    <col min="4" max="4" width="56.69921875" style="28" bestFit="1" customWidth="1"/>
    <col min="5" max="5" width="8.69921875" style="28" customWidth="1"/>
    <col min="6" max="7" width="10.8984375" style="28" hidden="1" customWidth="1" outlineLevel="2"/>
    <col min="8" max="8" width="10.8984375" style="28" hidden="1" customWidth="1" outlineLevel="1" collapsed="1"/>
    <col min="9" max="9" width="10.8984375" style="28" hidden="1" customWidth="1" outlineLevel="1"/>
    <col min="10" max="10" width="10.8984375" style="28" customWidth="1" collapsed="1"/>
    <col min="11" max="11" width="10" style="28" customWidth="1"/>
    <col min="12" max="12" width="41.3984375" style="28" customWidth="1"/>
    <col min="13" max="15" width="6.5" style="26" hidden="1" customWidth="1"/>
    <col min="16" max="16" width="8.69921875" style="26" hidden="1" customWidth="1"/>
    <col min="17" max="17" width="8.69921875" style="29" customWidth="1"/>
    <col min="18" max="18" width="3.69921875" style="26" customWidth="1"/>
    <col min="19" max="23" width="2.5" style="26"/>
    <col min="24" max="24" width="3.59765625" style="26" customWidth="1"/>
    <col min="25" max="27" width="2.5" style="26"/>
    <col min="28" max="31" width="2.69921875" style="26" bestFit="1" customWidth="1"/>
    <col min="32" max="38" width="2.5" style="26"/>
    <col min="39" max="16384" width="2.5" style="27"/>
  </cols>
  <sheetData>
    <row r="1" spans="3:79" s="33" customFormat="1" ht="17.399999999999999" x14ac:dyDescent="0.35">
      <c r="D1" s="30"/>
      <c r="E1" s="30"/>
      <c r="F1" s="30"/>
      <c r="G1" s="30"/>
      <c r="H1" s="30"/>
      <c r="I1" s="30"/>
      <c r="J1" s="30"/>
      <c r="K1" s="30"/>
      <c r="L1" s="30"/>
      <c r="M1" s="31"/>
      <c r="N1" s="31"/>
      <c r="O1" s="31"/>
      <c r="P1" s="31"/>
      <c r="Q1" s="32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pans="3:79" s="33" customFormat="1" ht="15" customHeight="1" x14ac:dyDescent="0.3">
      <c r="C2" s="92" t="s">
        <v>52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 spans="3:79" s="33" customFormat="1" ht="21" customHeight="1" x14ac:dyDescent="0.3"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31"/>
      <c r="S3" s="34" t="s">
        <v>39</v>
      </c>
      <c r="T3" s="35"/>
      <c r="U3" s="35"/>
      <c r="V3" s="35"/>
      <c r="W3" s="35"/>
      <c r="X3" s="36">
        <v>41</v>
      </c>
      <c r="Y3" s="35"/>
      <c r="Z3" s="31"/>
      <c r="AA3" s="37"/>
      <c r="AB3" s="38" t="s">
        <v>35</v>
      </c>
      <c r="AC3" s="31"/>
      <c r="AD3" s="39"/>
      <c r="AE3" s="38" t="s">
        <v>36</v>
      </c>
      <c r="AF3" s="31"/>
      <c r="AG3" s="31"/>
      <c r="AH3" s="40"/>
      <c r="AI3" s="41" t="s">
        <v>40</v>
      </c>
      <c r="AJ3" s="31"/>
      <c r="AK3" s="31"/>
      <c r="AL3" s="31"/>
      <c r="AM3" s="42"/>
      <c r="AN3" s="41" t="s">
        <v>41</v>
      </c>
      <c r="AQ3" s="31"/>
      <c r="AR3" s="31"/>
      <c r="AS3" s="31"/>
      <c r="AT3" s="31"/>
      <c r="AU3" s="43"/>
      <c r="AV3" s="41" t="s">
        <v>42</v>
      </c>
    </row>
    <row r="4" spans="3:79" s="33" customFormat="1" ht="18.75" customHeight="1" x14ac:dyDescent="0.4"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31"/>
      <c r="S4" s="93" t="s">
        <v>53</v>
      </c>
      <c r="T4" s="93"/>
      <c r="U4" s="93" t="str">
        <f ca="1">"W"&amp; WEEKNUM(TODAY())</f>
        <v>W41</v>
      </c>
      <c r="V4" s="93"/>
      <c r="W4" s="93"/>
      <c r="X4" s="93"/>
      <c r="Y4" s="93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BD4" s="31"/>
      <c r="BE4" s="31"/>
      <c r="BF4" s="31"/>
      <c r="BG4" s="31"/>
      <c r="BH4" s="31"/>
    </row>
    <row r="5" spans="3:79" s="33" customFormat="1" ht="17.399999999999999" x14ac:dyDescent="0.35">
      <c r="D5" s="30"/>
      <c r="E5" s="30"/>
      <c r="F5" s="30"/>
      <c r="G5" s="30"/>
      <c r="H5" s="30"/>
      <c r="I5" s="30"/>
      <c r="J5" s="30"/>
      <c r="K5" s="30"/>
      <c r="L5" s="30"/>
      <c r="M5" s="31"/>
      <c r="N5" s="31"/>
      <c r="O5" s="31"/>
      <c r="P5" s="31"/>
      <c r="Q5" s="32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BD5" s="31"/>
      <c r="BE5" s="31"/>
      <c r="BF5" s="31"/>
    </row>
    <row r="6" spans="3:79" s="33" customFormat="1" ht="14.4" x14ac:dyDescent="0.3">
      <c r="C6" s="86" t="s">
        <v>44</v>
      </c>
      <c r="D6" s="89" t="s">
        <v>43</v>
      </c>
      <c r="E6" s="89" t="s">
        <v>45</v>
      </c>
      <c r="F6" s="94" t="s">
        <v>48</v>
      </c>
      <c r="G6" s="94" t="s">
        <v>47</v>
      </c>
      <c r="H6" s="94" t="s">
        <v>49</v>
      </c>
      <c r="I6" s="94" t="s">
        <v>50</v>
      </c>
      <c r="J6" s="89" t="s">
        <v>54</v>
      </c>
      <c r="K6" s="89" t="s">
        <v>46</v>
      </c>
      <c r="L6" s="89" t="s">
        <v>51</v>
      </c>
      <c r="M6" s="46" t="s">
        <v>35</v>
      </c>
      <c r="N6" s="46" t="s">
        <v>35</v>
      </c>
      <c r="O6" s="46" t="s">
        <v>36</v>
      </c>
      <c r="P6" s="46" t="s">
        <v>36</v>
      </c>
      <c r="Q6" s="89" t="s">
        <v>66</v>
      </c>
      <c r="R6" s="44"/>
      <c r="S6" s="44"/>
      <c r="T6" s="44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BD6" s="31"/>
      <c r="BE6" s="31"/>
      <c r="BF6" s="31"/>
    </row>
    <row r="7" spans="3:79" s="33" customFormat="1" ht="17.399999999999999" x14ac:dyDescent="0.4">
      <c r="C7" s="87"/>
      <c r="D7" s="90"/>
      <c r="E7" s="90"/>
      <c r="F7" s="90"/>
      <c r="G7" s="90"/>
      <c r="H7" s="90"/>
      <c r="I7" s="90"/>
      <c r="J7" s="90"/>
      <c r="K7" s="90"/>
      <c r="L7" s="90"/>
      <c r="M7" s="46" t="s">
        <v>37</v>
      </c>
      <c r="N7" s="46" t="s">
        <v>38</v>
      </c>
      <c r="O7" s="46" t="s">
        <v>37</v>
      </c>
      <c r="P7" s="46" t="s">
        <v>38</v>
      </c>
      <c r="Q7" s="90"/>
      <c r="R7" s="58"/>
      <c r="S7" s="59" t="s">
        <v>196</v>
      </c>
      <c r="T7" s="44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</row>
    <row r="8" spans="3:79" s="33" customFormat="1" ht="14.4" x14ac:dyDescent="0.3">
      <c r="C8" s="88"/>
      <c r="D8" s="91"/>
      <c r="E8" s="91"/>
      <c r="F8" s="91"/>
      <c r="G8" s="91"/>
      <c r="H8" s="91"/>
      <c r="I8" s="91"/>
      <c r="J8" s="91"/>
      <c r="K8" s="91"/>
      <c r="L8" s="91"/>
      <c r="M8" s="47"/>
      <c r="N8" s="47"/>
      <c r="O8" s="47"/>
      <c r="P8" s="47"/>
      <c r="Q8" s="91"/>
      <c r="R8" s="45"/>
      <c r="S8" s="45">
        <v>1</v>
      </c>
      <c r="T8" s="45">
        <v>2</v>
      </c>
      <c r="U8" s="45">
        <v>3</v>
      </c>
      <c r="V8" s="45">
        <v>4</v>
      </c>
      <c r="W8" s="45">
        <v>5</v>
      </c>
      <c r="X8" s="45">
        <v>6</v>
      </c>
      <c r="Y8" s="45">
        <v>7</v>
      </c>
      <c r="Z8" s="45">
        <v>8</v>
      </c>
      <c r="AA8" s="45">
        <v>9</v>
      </c>
      <c r="AB8" s="45">
        <v>10</v>
      </c>
      <c r="AC8" s="45">
        <v>11</v>
      </c>
      <c r="AD8" s="45">
        <v>12</v>
      </c>
      <c r="AE8" s="45">
        <v>13</v>
      </c>
      <c r="AF8" s="45">
        <v>14</v>
      </c>
      <c r="AG8" s="45">
        <v>15</v>
      </c>
      <c r="AH8" s="45">
        <v>16</v>
      </c>
      <c r="AI8" s="45">
        <v>17</v>
      </c>
      <c r="AJ8" s="45">
        <v>18</v>
      </c>
      <c r="AK8" s="45">
        <v>19</v>
      </c>
      <c r="AL8" s="45">
        <v>20</v>
      </c>
      <c r="AM8" s="45">
        <v>21</v>
      </c>
      <c r="AN8" s="45">
        <v>22</v>
      </c>
      <c r="AO8" s="45">
        <v>23</v>
      </c>
      <c r="AP8" s="45">
        <v>24</v>
      </c>
      <c r="AQ8" s="45">
        <v>25</v>
      </c>
      <c r="AR8" s="45">
        <v>26</v>
      </c>
      <c r="AS8" s="45">
        <v>27</v>
      </c>
      <c r="AT8" s="45">
        <v>28</v>
      </c>
      <c r="AU8" s="45">
        <v>29</v>
      </c>
      <c r="AV8" s="45">
        <v>30</v>
      </c>
      <c r="AW8" s="45">
        <v>31</v>
      </c>
      <c r="AX8" s="45">
        <v>32</v>
      </c>
      <c r="AY8" s="45">
        <v>33</v>
      </c>
      <c r="AZ8" s="45">
        <v>34</v>
      </c>
      <c r="BA8" s="45">
        <v>35</v>
      </c>
      <c r="BB8" s="45">
        <v>36</v>
      </c>
      <c r="BC8" s="45">
        <v>37</v>
      </c>
      <c r="BD8" s="45">
        <v>38</v>
      </c>
      <c r="BE8" s="45">
        <v>39</v>
      </c>
      <c r="BF8" s="45">
        <v>40</v>
      </c>
      <c r="BG8" s="45">
        <v>41</v>
      </c>
      <c r="BH8" s="45">
        <v>42</v>
      </c>
      <c r="BI8" s="45">
        <v>43</v>
      </c>
      <c r="BJ8" s="45">
        <v>44</v>
      </c>
      <c r="BK8" s="45">
        <v>45</v>
      </c>
      <c r="BL8" s="45">
        <v>46</v>
      </c>
      <c r="BM8" s="45">
        <v>47</v>
      </c>
      <c r="BN8" s="45">
        <v>48</v>
      </c>
      <c r="BO8" s="45">
        <v>49</v>
      </c>
      <c r="BP8" s="45">
        <v>50</v>
      </c>
      <c r="BQ8" s="45">
        <v>51</v>
      </c>
      <c r="BR8" s="45">
        <v>52</v>
      </c>
      <c r="BS8" s="45">
        <v>53</v>
      </c>
      <c r="BT8" s="45">
        <v>54</v>
      </c>
      <c r="BU8" s="45">
        <v>55</v>
      </c>
      <c r="BV8" s="45">
        <v>56</v>
      </c>
      <c r="BW8" s="45">
        <v>57</v>
      </c>
      <c r="BX8" s="45">
        <v>58</v>
      </c>
      <c r="BY8" s="45">
        <v>59</v>
      </c>
      <c r="BZ8" s="45">
        <v>60</v>
      </c>
      <c r="CA8" s="31"/>
    </row>
    <row r="9" spans="3:79" s="33" customFormat="1" ht="18.899999999999999" customHeight="1" x14ac:dyDescent="0.35">
      <c r="C9" s="70"/>
      <c r="D9" s="66" t="s">
        <v>86</v>
      </c>
      <c r="E9" s="47"/>
      <c r="F9" s="52">
        <v>44105</v>
      </c>
      <c r="G9" s="52">
        <v>44196</v>
      </c>
      <c r="H9" s="52">
        <v>44112</v>
      </c>
      <c r="I9" s="52">
        <v>44196</v>
      </c>
      <c r="J9" s="50" t="s">
        <v>56</v>
      </c>
      <c r="K9" s="55" t="str">
        <f>IF(AND(Q9&gt;0%,Q9&lt;100%),"진행 중",IF(Q9=0%,"진행 대기","완료"))</f>
        <v>완료</v>
      </c>
      <c r="L9" s="83"/>
      <c r="M9" s="48">
        <f t="shared" ref="M9:M23" si="0">WEEKNUM(F9)</f>
        <v>40</v>
      </c>
      <c r="N9" s="48">
        <f t="shared" ref="N9:N23" si="1">WEEKNUM(G9-F9)</f>
        <v>13</v>
      </c>
      <c r="O9" s="48">
        <f t="shared" ref="O9:O23" si="2">WEEKNUM(H9)</f>
        <v>41</v>
      </c>
      <c r="P9" s="48">
        <f t="shared" ref="P9:P23" si="3">WEEKNUM(I9-H9)</f>
        <v>12</v>
      </c>
      <c r="Q9" s="49">
        <v>1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S9" s="76"/>
    </row>
    <row r="10" spans="3:79" s="33" customFormat="1" ht="18.899999999999999" customHeight="1" x14ac:dyDescent="0.35">
      <c r="C10" s="70"/>
      <c r="D10" s="66" t="s">
        <v>91</v>
      </c>
      <c r="E10" s="47"/>
      <c r="F10" s="52">
        <v>42394</v>
      </c>
      <c r="G10" s="52">
        <v>42411</v>
      </c>
      <c r="H10" s="52"/>
      <c r="I10" s="52"/>
      <c r="J10" s="50"/>
      <c r="K10" s="55" t="str">
        <f>IF(AND(Q10&gt;0%,Q10&lt;100%),"진행 중",IF(Q10=0%,"진행 대기","완료"))</f>
        <v>진행 대기</v>
      </c>
      <c r="L10" s="83"/>
      <c r="M10" s="48">
        <f t="shared" ref="M10" si="4">WEEKNUM(F10)</f>
        <v>5</v>
      </c>
      <c r="N10" s="48">
        <f t="shared" ref="N10" si="5">WEEKNUM(G10-F10)</f>
        <v>3</v>
      </c>
      <c r="O10" s="48">
        <f t="shared" ref="O10" si="6">WEEKNUM(H10)</f>
        <v>0</v>
      </c>
      <c r="P10" s="48">
        <f t="shared" ref="P10" si="7">WEEKNUM(I10-H10)</f>
        <v>0</v>
      </c>
      <c r="Q10" s="49">
        <v>0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S10" s="76"/>
    </row>
    <row r="11" spans="3:79" s="33" customFormat="1" ht="18.899999999999999" customHeight="1" x14ac:dyDescent="0.35">
      <c r="C11" s="70"/>
      <c r="D11" s="67" t="s">
        <v>87</v>
      </c>
      <c r="E11" s="65"/>
      <c r="F11" s="52">
        <v>42394</v>
      </c>
      <c r="G11" s="52">
        <v>42398</v>
      </c>
      <c r="H11" s="52"/>
      <c r="I11" s="52"/>
      <c r="J11" s="50"/>
      <c r="K11" s="55" t="str">
        <f t="shared" ref="K11:K89" si="8">IF(AND(Q11&gt;0%,Q11&lt;100%),"진행 중",IF(Q11=0%,"진행 대기","완료"))</f>
        <v>진행 대기</v>
      </c>
      <c r="L11" s="83"/>
      <c r="M11" s="48">
        <f t="shared" si="0"/>
        <v>5</v>
      </c>
      <c r="N11" s="48">
        <f t="shared" si="1"/>
        <v>1</v>
      </c>
      <c r="O11" s="48">
        <f t="shared" si="2"/>
        <v>0</v>
      </c>
      <c r="P11" s="48">
        <f t="shared" si="3"/>
        <v>0</v>
      </c>
      <c r="Q11" s="49">
        <v>0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S11" s="76"/>
    </row>
    <row r="12" spans="3:79" s="33" customFormat="1" ht="18.899999999999999" customHeight="1" x14ac:dyDescent="0.35">
      <c r="C12" s="70"/>
      <c r="D12" s="67" t="s">
        <v>165</v>
      </c>
      <c r="E12" s="65"/>
      <c r="F12" s="52">
        <v>42394</v>
      </c>
      <c r="G12" s="52">
        <v>42404</v>
      </c>
      <c r="H12" s="52"/>
      <c r="I12" s="52"/>
      <c r="J12" s="50"/>
      <c r="K12" s="55" t="str">
        <f t="shared" si="8"/>
        <v>진행 대기</v>
      </c>
      <c r="L12" s="83"/>
      <c r="M12" s="48">
        <f t="shared" ref="M12:M19" si="9">WEEKNUM(F12)</f>
        <v>5</v>
      </c>
      <c r="N12" s="48">
        <f t="shared" ref="N12:N19" si="10">WEEKNUM(G12-F12)</f>
        <v>2</v>
      </c>
      <c r="O12" s="48">
        <f t="shared" ref="O12:O19" si="11">WEEKNUM(H12)</f>
        <v>0</v>
      </c>
      <c r="P12" s="48">
        <f t="shared" ref="P12:P19" si="12">WEEKNUM(I12-H12)</f>
        <v>0</v>
      </c>
      <c r="Q12" s="49">
        <v>0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S12" s="76"/>
    </row>
    <row r="13" spans="3:79" s="33" customFormat="1" ht="18.899999999999999" customHeight="1" x14ac:dyDescent="0.35">
      <c r="C13" s="70"/>
      <c r="D13" s="67" t="s">
        <v>88</v>
      </c>
      <c r="E13" s="47"/>
      <c r="F13" s="52">
        <v>42394</v>
      </c>
      <c r="G13" s="52">
        <v>42398</v>
      </c>
      <c r="H13" s="52"/>
      <c r="I13" s="52"/>
      <c r="J13" s="50"/>
      <c r="K13" s="55" t="str">
        <f t="shared" si="8"/>
        <v>진행 대기</v>
      </c>
      <c r="L13" s="83"/>
      <c r="M13" s="48">
        <f t="shared" si="9"/>
        <v>5</v>
      </c>
      <c r="N13" s="48">
        <f t="shared" si="10"/>
        <v>1</v>
      </c>
      <c r="O13" s="48">
        <f t="shared" si="11"/>
        <v>0</v>
      </c>
      <c r="P13" s="48">
        <f t="shared" si="12"/>
        <v>0</v>
      </c>
      <c r="Q13" s="49">
        <v>0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S13" s="76"/>
    </row>
    <row r="14" spans="3:79" s="33" customFormat="1" ht="18.899999999999999" customHeight="1" x14ac:dyDescent="0.35">
      <c r="C14" s="70"/>
      <c r="D14" s="67" t="s">
        <v>153</v>
      </c>
      <c r="E14" s="47"/>
      <c r="F14" s="52">
        <v>42401</v>
      </c>
      <c r="G14" s="52">
        <v>42412</v>
      </c>
      <c r="H14" s="52"/>
      <c r="I14" s="52"/>
      <c r="J14" s="50"/>
      <c r="K14" s="55" t="str">
        <f t="shared" si="8"/>
        <v>진행 대기</v>
      </c>
      <c r="L14" s="83"/>
      <c r="M14" s="48">
        <f t="shared" si="9"/>
        <v>6</v>
      </c>
      <c r="N14" s="48">
        <f t="shared" si="10"/>
        <v>2</v>
      </c>
      <c r="O14" s="48">
        <f t="shared" si="11"/>
        <v>0</v>
      </c>
      <c r="P14" s="48">
        <f t="shared" si="12"/>
        <v>0</v>
      </c>
      <c r="Q14" s="49">
        <v>0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S14" s="76"/>
    </row>
    <row r="15" spans="3:79" s="33" customFormat="1" ht="18.899999999999999" customHeight="1" x14ac:dyDescent="0.35">
      <c r="C15" s="70"/>
      <c r="D15" s="66" t="s">
        <v>89</v>
      </c>
      <c r="E15" s="47"/>
      <c r="F15" s="52">
        <v>42394</v>
      </c>
      <c r="G15" s="52">
        <v>42412</v>
      </c>
      <c r="H15" s="52"/>
      <c r="I15" s="52"/>
      <c r="J15" s="50"/>
      <c r="K15" s="55" t="str">
        <f t="shared" si="8"/>
        <v>진행 대기</v>
      </c>
      <c r="L15" s="83"/>
      <c r="M15" s="48">
        <f t="shared" si="9"/>
        <v>5</v>
      </c>
      <c r="N15" s="48">
        <f t="shared" si="10"/>
        <v>3</v>
      </c>
      <c r="O15" s="48">
        <f t="shared" si="11"/>
        <v>0</v>
      </c>
      <c r="P15" s="48">
        <f t="shared" si="12"/>
        <v>0</v>
      </c>
      <c r="Q15" s="49">
        <v>0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S15" s="76"/>
    </row>
    <row r="16" spans="3:79" s="33" customFormat="1" ht="18.899999999999999" customHeight="1" x14ac:dyDescent="0.35">
      <c r="C16" s="70"/>
      <c r="D16" s="66" t="s">
        <v>90</v>
      </c>
      <c r="E16" s="47"/>
      <c r="F16" s="52">
        <v>42403</v>
      </c>
      <c r="G16" s="52">
        <v>42403</v>
      </c>
      <c r="H16" s="52"/>
      <c r="I16" s="52"/>
      <c r="J16" s="50"/>
      <c r="K16" s="55" t="str">
        <f t="shared" si="8"/>
        <v>진행 대기</v>
      </c>
      <c r="L16" s="83"/>
      <c r="M16" s="48">
        <f t="shared" si="9"/>
        <v>6</v>
      </c>
      <c r="N16" s="48">
        <f t="shared" si="10"/>
        <v>0</v>
      </c>
      <c r="O16" s="48">
        <f t="shared" si="11"/>
        <v>0</v>
      </c>
      <c r="P16" s="48">
        <f t="shared" si="12"/>
        <v>0</v>
      </c>
      <c r="Q16" s="49">
        <v>0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S16" s="76"/>
    </row>
    <row r="17" spans="1:45" s="33" customFormat="1" ht="18.899999999999999" customHeight="1" x14ac:dyDescent="0.35">
      <c r="C17" s="70"/>
      <c r="D17" s="66" t="s">
        <v>92</v>
      </c>
      <c r="E17" s="47"/>
      <c r="F17" s="52">
        <v>42394</v>
      </c>
      <c r="G17" s="52">
        <v>42411</v>
      </c>
      <c r="H17" s="52"/>
      <c r="I17" s="52"/>
      <c r="J17" s="50"/>
      <c r="K17" s="55" t="str">
        <f t="shared" si="8"/>
        <v>진행 대기</v>
      </c>
      <c r="L17" s="83"/>
      <c r="M17" s="48">
        <f t="shared" si="9"/>
        <v>5</v>
      </c>
      <c r="N17" s="48">
        <f t="shared" si="10"/>
        <v>3</v>
      </c>
      <c r="O17" s="48">
        <f t="shared" si="11"/>
        <v>0</v>
      </c>
      <c r="P17" s="48">
        <f t="shared" si="12"/>
        <v>0</v>
      </c>
      <c r="Q17" s="49">
        <v>0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S17" s="76"/>
    </row>
    <row r="18" spans="1:45" s="33" customFormat="1" ht="18.899999999999999" customHeight="1" x14ac:dyDescent="0.35">
      <c r="C18" s="70"/>
      <c r="D18" s="67" t="s">
        <v>166</v>
      </c>
      <c r="E18" s="47"/>
      <c r="F18" s="52">
        <v>42394</v>
      </c>
      <c r="G18" s="52">
        <v>42398</v>
      </c>
      <c r="H18" s="52"/>
      <c r="I18" s="52"/>
      <c r="J18" s="50"/>
      <c r="K18" s="55" t="str">
        <f t="shared" si="8"/>
        <v>진행 대기</v>
      </c>
      <c r="L18" s="83"/>
      <c r="M18" s="48">
        <f t="shared" si="9"/>
        <v>5</v>
      </c>
      <c r="N18" s="48">
        <f t="shared" si="10"/>
        <v>1</v>
      </c>
      <c r="O18" s="48">
        <f t="shared" si="11"/>
        <v>0</v>
      </c>
      <c r="P18" s="48">
        <f t="shared" si="12"/>
        <v>0</v>
      </c>
      <c r="Q18" s="49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S18" s="76"/>
    </row>
    <row r="19" spans="1:45" s="33" customFormat="1" ht="18.899999999999999" customHeight="1" x14ac:dyDescent="0.35">
      <c r="C19" s="70"/>
      <c r="D19" s="67" t="s">
        <v>93</v>
      </c>
      <c r="E19" s="65"/>
      <c r="F19" s="52">
        <v>42394</v>
      </c>
      <c r="G19" s="52">
        <v>42411</v>
      </c>
      <c r="H19" s="52"/>
      <c r="I19" s="52"/>
      <c r="J19" s="50"/>
      <c r="K19" s="55" t="str">
        <f t="shared" si="8"/>
        <v>진행 대기</v>
      </c>
      <c r="L19" s="83"/>
      <c r="M19" s="48">
        <f t="shared" si="9"/>
        <v>5</v>
      </c>
      <c r="N19" s="48">
        <f t="shared" si="10"/>
        <v>3</v>
      </c>
      <c r="O19" s="48">
        <f t="shared" si="11"/>
        <v>0</v>
      </c>
      <c r="P19" s="48">
        <f t="shared" si="12"/>
        <v>0</v>
      </c>
      <c r="Q19" s="49">
        <v>0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S19" s="76"/>
    </row>
    <row r="20" spans="1:45" s="33" customFormat="1" ht="18.899999999999999" customHeight="1" x14ac:dyDescent="0.35">
      <c r="C20" s="70"/>
      <c r="D20" s="82" t="s">
        <v>94</v>
      </c>
      <c r="E20" s="81"/>
      <c r="F20" s="80">
        <v>42401</v>
      </c>
      <c r="G20" s="80">
        <v>42412</v>
      </c>
      <c r="H20" s="80"/>
      <c r="I20" s="52"/>
      <c r="J20" s="50"/>
      <c r="K20" s="55" t="str">
        <f t="shared" si="8"/>
        <v>진행 대기</v>
      </c>
      <c r="L20" s="83"/>
      <c r="M20" s="48">
        <f t="shared" si="0"/>
        <v>6</v>
      </c>
      <c r="N20" s="48">
        <f t="shared" si="1"/>
        <v>2</v>
      </c>
      <c r="O20" s="48">
        <f t="shared" si="2"/>
        <v>0</v>
      </c>
      <c r="P20" s="48">
        <f t="shared" si="3"/>
        <v>0</v>
      </c>
      <c r="Q20" s="49">
        <v>0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S20" s="76"/>
    </row>
    <row r="21" spans="1:45" s="33" customFormat="1" ht="18.899999999999999" customHeight="1" x14ac:dyDescent="0.35">
      <c r="C21" s="70"/>
      <c r="D21" s="78" t="s">
        <v>95</v>
      </c>
      <c r="E21" s="81"/>
      <c r="F21" s="80">
        <v>42403</v>
      </c>
      <c r="G21" s="80">
        <v>42411</v>
      </c>
      <c r="H21" s="80"/>
      <c r="I21" s="52"/>
      <c r="J21" s="50"/>
      <c r="K21" s="55" t="str">
        <f t="shared" si="8"/>
        <v>진행 대기</v>
      </c>
      <c r="L21" s="83"/>
      <c r="M21" s="48">
        <f t="shared" si="0"/>
        <v>6</v>
      </c>
      <c r="N21" s="48">
        <f t="shared" si="1"/>
        <v>2</v>
      </c>
      <c r="O21" s="48">
        <f t="shared" si="2"/>
        <v>0</v>
      </c>
      <c r="P21" s="48">
        <f t="shared" si="3"/>
        <v>0</v>
      </c>
      <c r="Q21" s="49">
        <v>0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S21" s="76"/>
    </row>
    <row r="22" spans="1:45" s="33" customFormat="1" ht="18.899999999999999" customHeight="1" x14ac:dyDescent="0.35">
      <c r="C22" s="70"/>
      <c r="D22" s="78" t="s">
        <v>167</v>
      </c>
      <c r="E22" s="81"/>
      <c r="F22" s="80">
        <v>42415</v>
      </c>
      <c r="G22" s="80">
        <v>42428</v>
      </c>
      <c r="H22" s="80"/>
      <c r="I22" s="52"/>
      <c r="J22" s="50"/>
      <c r="K22" s="55" t="str">
        <f t="shared" si="8"/>
        <v>진행 대기</v>
      </c>
      <c r="L22" s="83"/>
      <c r="M22" s="48">
        <f t="shared" si="0"/>
        <v>8</v>
      </c>
      <c r="N22" s="48">
        <f t="shared" si="1"/>
        <v>2</v>
      </c>
      <c r="O22" s="48">
        <f t="shared" si="2"/>
        <v>0</v>
      </c>
      <c r="P22" s="48">
        <f t="shared" si="3"/>
        <v>0</v>
      </c>
      <c r="Q22" s="49">
        <v>0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S22" s="76"/>
    </row>
    <row r="23" spans="1:45" s="33" customFormat="1" ht="18.899999999999999" customHeight="1" x14ac:dyDescent="0.35">
      <c r="C23" s="70"/>
      <c r="D23" s="66" t="s">
        <v>96</v>
      </c>
      <c r="E23" s="47"/>
      <c r="F23" s="52">
        <v>42422</v>
      </c>
      <c r="G23" s="52">
        <v>42428</v>
      </c>
      <c r="H23" s="52"/>
      <c r="I23" s="52"/>
      <c r="J23" s="50"/>
      <c r="K23" s="55" t="str">
        <f t="shared" si="8"/>
        <v>진행 대기</v>
      </c>
      <c r="L23" s="83"/>
      <c r="M23" s="48">
        <f t="shared" si="0"/>
        <v>9</v>
      </c>
      <c r="N23" s="48">
        <f t="shared" si="1"/>
        <v>1</v>
      </c>
      <c r="O23" s="48">
        <f t="shared" si="2"/>
        <v>0</v>
      </c>
      <c r="P23" s="48">
        <f t="shared" si="3"/>
        <v>0</v>
      </c>
      <c r="Q23" s="49">
        <v>0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S23" s="76"/>
    </row>
    <row r="24" spans="1:45" s="33" customFormat="1" ht="18.899999999999999" customHeight="1" x14ac:dyDescent="0.35">
      <c r="C24" s="70"/>
      <c r="D24" s="78" t="s">
        <v>163</v>
      </c>
      <c r="E24" s="79"/>
      <c r="F24" s="80">
        <v>42401</v>
      </c>
      <c r="G24" s="80">
        <v>42412</v>
      </c>
      <c r="H24" s="80"/>
      <c r="I24" s="52"/>
      <c r="J24" s="50"/>
      <c r="K24" s="55" t="str">
        <f t="shared" si="8"/>
        <v>진행 대기</v>
      </c>
      <c r="L24" s="83"/>
      <c r="M24" s="48">
        <f t="shared" ref="M24:M36" si="13">WEEKNUM(F24)</f>
        <v>6</v>
      </c>
      <c r="N24" s="48">
        <f t="shared" ref="N24:N36" si="14">WEEKNUM(G24-F24)</f>
        <v>2</v>
      </c>
      <c r="O24" s="48">
        <f t="shared" ref="O24:O36" si="15">WEEKNUM(H24)</f>
        <v>0</v>
      </c>
      <c r="P24" s="48">
        <f t="shared" ref="P24:P36" si="16">WEEKNUM(I24-H24)</f>
        <v>0</v>
      </c>
      <c r="Q24" s="49">
        <v>0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S24" s="76"/>
    </row>
    <row r="25" spans="1:45" s="33" customFormat="1" ht="18.899999999999999" customHeight="1" x14ac:dyDescent="0.35">
      <c r="C25" s="70"/>
      <c r="D25" s="78" t="s">
        <v>184</v>
      </c>
      <c r="E25" s="79"/>
      <c r="F25" s="80">
        <v>42404</v>
      </c>
      <c r="G25" s="80">
        <v>42419</v>
      </c>
      <c r="H25" s="52"/>
      <c r="I25" s="52"/>
      <c r="J25" s="50"/>
      <c r="K25" s="55" t="str">
        <f t="shared" si="8"/>
        <v>진행 대기</v>
      </c>
      <c r="L25" s="83"/>
      <c r="M25" s="48">
        <f t="shared" si="13"/>
        <v>6</v>
      </c>
      <c r="N25" s="48">
        <f t="shared" si="14"/>
        <v>3</v>
      </c>
      <c r="O25" s="48">
        <f t="shared" si="15"/>
        <v>0</v>
      </c>
      <c r="P25" s="48">
        <f t="shared" si="16"/>
        <v>0</v>
      </c>
      <c r="Q25" s="49">
        <v>0</v>
      </c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S25" s="76"/>
    </row>
    <row r="26" spans="1:45" s="33" customFormat="1" ht="31.2" x14ac:dyDescent="0.35">
      <c r="C26" s="70"/>
      <c r="D26" s="78" t="s">
        <v>190</v>
      </c>
      <c r="E26" s="79"/>
      <c r="F26" s="80">
        <v>42404</v>
      </c>
      <c r="G26" s="80">
        <v>42419</v>
      </c>
      <c r="H26" s="80"/>
      <c r="I26" s="52"/>
      <c r="J26" s="50"/>
      <c r="K26" s="55" t="str">
        <f t="shared" si="8"/>
        <v>진행 대기</v>
      </c>
      <c r="L26" s="84" t="s">
        <v>189</v>
      </c>
      <c r="M26" s="48">
        <f t="shared" si="13"/>
        <v>6</v>
      </c>
      <c r="N26" s="48">
        <f t="shared" si="14"/>
        <v>3</v>
      </c>
      <c r="O26" s="48">
        <f t="shared" si="15"/>
        <v>0</v>
      </c>
      <c r="P26" s="48">
        <f t="shared" si="16"/>
        <v>0</v>
      </c>
      <c r="Q26" s="49">
        <v>0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S26" s="76"/>
    </row>
    <row r="27" spans="1:45" s="33" customFormat="1" ht="18.899999999999999" customHeight="1" x14ac:dyDescent="0.35">
      <c r="C27" s="70"/>
      <c r="D27" s="66" t="s">
        <v>97</v>
      </c>
      <c r="E27" s="47"/>
      <c r="F27" s="52">
        <v>42401</v>
      </c>
      <c r="G27" s="52">
        <v>42412</v>
      </c>
      <c r="H27" s="52"/>
      <c r="I27" s="52"/>
      <c r="J27" s="50"/>
      <c r="K27" s="55" t="str">
        <f t="shared" si="8"/>
        <v>진행 대기</v>
      </c>
      <c r="L27" s="83"/>
      <c r="M27" s="48">
        <f t="shared" si="13"/>
        <v>6</v>
      </c>
      <c r="N27" s="48">
        <f t="shared" si="14"/>
        <v>2</v>
      </c>
      <c r="O27" s="48">
        <f t="shared" si="15"/>
        <v>0</v>
      </c>
      <c r="P27" s="48">
        <f t="shared" si="16"/>
        <v>0</v>
      </c>
      <c r="Q27" s="49">
        <v>0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S27" s="76"/>
    </row>
    <row r="28" spans="1:45" s="33" customFormat="1" ht="18.899999999999999" customHeight="1" x14ac:dyDescent="0.35">
      <c r="C28" s="71"/>
      <c r="D28" s="66" t="s">
        <v>98</v>
      </c>
      <c r="E28" s="47"/>
      <c r="F28" s="52">
        <v>42401</v>
      </c>
      <c r="G28" s="52">
        <v>42412</v>
      </c>
      <c r="H28" s="52"/>
      <c r="I28" s="52"/>
      <c r="J28" s="50"/>
      <c r="K28" s="55" t="str">
        <f t="shared" si="8"/>
        <v>진행 대기</v>
      </c>
      <c r="L28" s="83"/>
      <c r="M28" s="48">
        <f t="shared" si="13"/>
        <v>6</v>
      </c>
      <c r="N28" s="48">
        <f t="shared" si="14"/>
        <v>2</v>
      </c>
      <c r="O28" s="48">
        <f t="shared" si="15"/>
        <v>0</v>
      </c>
      <c r="P28" s="48">
        <f t="shared" si="16"/>
        <v>0</v>
      </c>
      <c r="Q28" s="49">
        <v>0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S28" s="76"/>
    </row>
    <row r="29" spans="1:45" s="33" customFormat="1" ht="17.399999999999999" x14ac:dyDescent="0.35">
      <c r="C29" s="70"/>
      <c r="D29" s="66" t="s">
        <v>99</v>
      </c>
      <c r="E29" s="47"/>
      <c r="F29" s="52">
        <v>42415</v>
      </c>
      <c r="G29" s="52">
        <v>42419</v>
      </c>
      <c r="H29" s="52"/>
      <c r="I29" s="52"/>
      <c r="J29" s="50"/>
      <c r="K29" s="55" t="str">
        <f t="shared" si="8"/>
        <v>진행 대기</v>
      </c>
      <c r="L29" s="84"/>
      <c r="M29" s="48">
        <f t="shared" si="13"/>
        <v>8</v>
      </c>
      <c r="N29" s="48">
        <f t="shared" si="14"/>
        <v>1</v>
      </c>
      <c r="O29" s="48">
        <f t="shared" si="15"/>
        <v>0</v>
      </c>
      <c r="P29" s="48">
        <f t="shared" si="16"/>
        <v>0</v>
      </c>
      <c r="Q29" s="49">
        <v>0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S29" s="76"/>
    </row>
    <row r="30" spans="1:45" s="33" customFormat="1" ht="18.899999999999999" customHeight="1" x14ac:dyDescent="0.35">
      <c r="C30" s="70"/>
      <c r="D30" s="66" t="s">
        <v>100</v>
      </c>
      <c r="E30" s="47"/>
      <c r="F30" s="52">
        <v>42422</v>
      </c>
      <c r="G30" s="52">
        <v>42426</v>
      </c>
      <c r="H30" s="52"/>
      <c r="I30" s="52"/>
      <c r="J30" s="50"/>
      <c r="K30" s="55" t="str">
        <f t="shared" si="8"/>
        <v>진행 대기</v>
      </c>
      <c r="L30" s="83"/>
      <c r="M30" s="48">
        <f t="shared" si="13"/>
        <v>9</v>
      </c>
      <c r="N30" s="48">
        <f t="shared" si="14"/>
        <v>1</v>
      </c>
      <c r="O30" s="48">
        <f t="shared" si="15"/>
        <v>0</v>
      </c>
      <c r="P30" s="48">
        <f t="shared" si="16"/>
        <v>0</v>
      </c>
      <c r="Q30" s="49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S30" s="76"/>
    </row>
    <row r="31" spans="1:45" s="33" customFormat="1" ht="18.899999999999999" customHeight="1" x14ac:dyDescent="0.35">
      <c r="C31" s="70"/>
      <c r="D31" s="66" t="s">
        <v>101</v>
      </c>
      <c r="E31" s="65"/>
      <c r="F31" s="52">
        <v>42424</v>
      </c>
      <c r="G31" s="52">
        <v>42431</v>
      </c>
      <c r="H31" s="52"/>
      <c r="I31" s="52"/>
      <c r="J31" s="50"/>
      <c r="K31" s="55" t="str">
        <f t="shared" si="8"/>
        <v>진행 대기</v>
      </c>
      <c r="L31" s="83"/>
      <c r="M31" s="48">
        <f t="shared" si="13"/>
        <v>9</v>
      </c>
      <c r="N31" s="48">
        <f t="shared" si="14"/>
        <v>1</v>
      </c>
      <c r="O31" s="48">
        <f t="shared" si="15"/>
        <v>0</v>
      </c>
      <c r="P31" s="48">
        <f t="shared" si="16"/>
        <v>0</v>
      </c>
      <c r="Q31" s="49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S31" s="76"/>
    </row>
    <row r="32" spans="1:45" s="33" customFormat="1" ht="18.899999999999999" customHeight="1" x14ac:dyDescent="0.4">
      <c r="A32" s="51"/>
      <c r="C32" s="70"/>
      <c r="D32" s="78" t="s">
        <v>102</v>
      </c>
      <c r="E32" s="81"/>
      <c r="F32" s="80"/>
      <c r="G32" s="80"/>
      <c r="H32" s="52"/>
      <c r="I32" s="52"/>
      <c r="J32" s="50"/>
      <c r="K32" s="55" t="str">
        <f t="shared" si="8"/>
        <v>진행 대기</v>
      </c>
      <c r="L32" s="83"/>
      <c r="M32" s="48">
        <f t="shared" si="13"/>
        <v>0</v>
      </c>
      <c r="N32" s="48">
        <f t="shared" si="14"/>
        <v>0</v>
      </c>
      <c r="O32" s="48">
        <f t="shared" si="15"/>
        <v>0</v>
      </c>
      <c r="P32" s="48">
        <f t="shared" si="16"/>
        <v>0</v>
      </c>
      <c r="Q32" s="49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S32" s="76"/>
    </row>
    <row r="33" spans="1:45" s="33" customFormat="1" ht="18.899999999999999" customHeight="1" x14ac:dyDescent="0.4">
      <c r="A33" s="64"/>
      <c r="C33" s="70"/>
      <c r="D33" s="82" t="s">
        <v>158</v>
      </c>
      <c r="E33" s="79"/>
      <c r="F33" s="80">
        <v>42401</v>
      </c>
      <c r="G33" s="80">
        <v>42426</v>
      </c>
      <c r="H33" s="52"/>
      <c r="I33" s="52"/>
      <c r="J33" s="50"/>
      <c r="K33" s="55" t="str">
        <f t="shared" si="8"/>
        <v>진행 중</v>
      </c>
      <c r="L33" s="83"/>
      <c r="M33" s="48">
        <f t="shared" si="13"/>
        <v>6</v>
      </c>
      <c r="N33" s="48">
        <f t="shared" si="14"/>
        <v>4</v>
      </c>
      <c r="O33" s="48">
        <f t="shared" si="15"/>
        <v>0</v>
      </c>
      <c r="P33" s="48">
        <f t="shared" si="16"/>
        <v>0</v>
      </c>
      <c r="Q33" s="49">
        <v>0.1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S33" s="76"/>
    </row>
    <row r="34" spans="1:45" s="33" customFormat="1" ht="18.899999999999999" customHeight="1" x14ac:dyDescent="0.4">
      <c r="A34" s="64"/>
      <c r="C34" s="70"/>
      <c r="D34" s="82" t="s">
        <v>191</v>
      </c>
      <c r="E34" s="79"/>
      <c r="F34" s="80">
        <v>42401</v>
      </c>
      <c r="G34" s="80">
        <v>42426</v>
      </c>
      <c r="H34" s="52"/>
      <c r="I34" s="52"/>
      <c r="J34" s="50"/>
      <c r="K34" s="55" t="str">
        <f t="shared" si="8"/>
        <v>진행 중</v>
      </c>
      <c r="L34" s="83"/>
      <c r="M34" s="48">
        <f t="shared" si="13"/>
        <v>6</v>
      </c>
      <c r="N34" s="48">
        <f t="shared" si="14"/>
        <v>4</v>
      </c>
      <c r="O34" s="48">
        <f t="shared" si="15"/>
        <v>0</v>
      </c>
      <c r="P34" s="48">
        <f t="shared" si="16"/>
        <v>0</v>
      </c>
      <c r="Q34" s="49">
        <v>0.1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S34" s="76"/>
    </row>
    <row r="35" spans="1:45" s="33" customFormat="1" ht="18.899999999999999" customHeight="1" x14ac:dyDescent="0.4">
      <c r="A35" s="64"/>
      <c r="C35" s="70"/>
      <c r="D35" s="66" t="s">
        <v>150</v>
      </c>
      <c r="E35" s="47"/>
      <c r="F35" s="52">
        <v>42431</v>
      </c>
      <c r="G35" s="52">
        <v>42431</v>
      </c>
      <c r="H35" s="52"/>
      <c r="I35" s="52"/>
      <c r="J35" s="50"/>
      <c r="K35" s="55" t="str">
        <f t="shared" si="8"/>
        <v>진행 대기</v>
      </c>
      <c r="L35" s="83"/>
      <c r="M35" s="48">
        <f t="shared" si="13"/>
        <v>10</v>
      </c>
      <c r="N35" s="48">
        <f t="shared" si="14"/>
        <v>0</v>
      </c>
      <c r="O35" s="48">
        <f t="shared" si="15"/>
        <v>0</v>
      </c>
      <c r="P35" s="48">
        <f t="shared" si="16"/>
        <v>0</v>
      </c>
      <c r="Q35" s="49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S35" s="76"/>
    </row>
    <row r="36" spans="1:45" s="33" customFormat="1" ht="18.899999999999999" customHeight="1" x14ac:dyDescent="0.4">
      <c r="A36" s="64"/>
      <c r="C36" s="71"/>
      <c r="D36" s="66" t="s">
        <v>151</v>
      </c>
      <c r="E36" s="47"/>
      <c r="F36" s="52">
        <v>42431</v>
      </c>
      <c r="G36" s="52">
        <v>42489</v>
      </c>
      <c r="H36" s="52"/>
      <c r="I36" s="52"/>
      <c r="J36" s="50"/>
      <c r="K36" s="55" t="str">
        <f t="shared" si="8"/>
        <v>진행 대기</v>
      </c>
      <c r="L36" s="83"/>
      <c r="M36" s="48">
        <f t="shared" si="13"/>
        <v>10</v>
      </c>
      <c r="N36" s="48">
        <f t="shared" si="14"/>
        <v>9</v>
      </c>
      <c r="O36" s="48">
        <f t="shared" si="15"/>
        <v>0</v>
      </c>
      <c r="P36" s="48">
        <f t="shared" si="16"/>
        <v>0</v>
      </c>
      <c r="Q36" s="49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S36" s="76"/>
    </row>
    <row r="37" spans="1:45" s="33" customFormat="1" ht="18.899999999999999" customHeight="1" x14ac:dyDescent="0.35">
      <c r="C37" s="72"/>
      <c r="D37" s="67" t="s">
        <v>103</v>
      </c>
      <c r="E37" s="47"/>
      <c r="F37" s="52">
        <v>42387</v>
      </c>
      <c r="G37" s="52">
        <v>42426</v>
      </c>
      <c r="H37" s="52"/>
      <c r="I37" s="52"/>
      <c r="J37" s="50"/>
      <c r="K37" s="55" t="str">
        <f t="shared" si="8"/>
        <v>진행 대기</v>
      </c>
      <c r="L37" s="83"/>
      <c r="M37" s="48">
        <f t="shared" ref="M37:M85" si="17">WEEKNUM(F37)</f>
        <v>4</v>
      </c>
      <c r="N37" s="48">
        <f t="shared" ref="N37:N85" si="18">WEEKNUM(G37-F37)</f>
        <v>6</v>
      </c>
      <c r="O37" s="48">
        <f t="shared" ref="O37:O85" si="19">WEEKNUM(H37)</f>
        <v>0</v>
      </c>
      <c r="P37" s="48">
        <f t="shared" ref="P37:P85" si="20">WEEKNUM(I37-H37)</f>
        <v>0</v>
      </c>
      <c r="Q37" s="49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S37" s="76"/>
    </row>
    <row r="38" spans="1:45" s="33" customFormat="1" ht="18.899999999999999" customHeight="1" x14ac:dyDescent="0.35">
      <c r="C38" s="72"/>
      <c r="D38" s="68" t="s">
        <v>104</v>
      </c>
      <c r="E38" s="65"/>
      <c r="F38" s="52">
        <v>42387</v>
      </c>
      <c r="G38" s="52">
        <v>42419</v>
      </c>
      <c r="H38" s="52"/>
      <c r="I38" s="52"/>
      <c r="J38" s="50"/>
      <c r="K38" s="55" t="str">
        <f t="shared" si="8"/>
        <v>완료</v>
      </c>
      <c r="L38" s="83" t="s">
        <v>180</v>
      </c>
      <c r="M38" s="48">
        <f t="shared" si="17"/>
        <v>4</v>
      </c>
      <c r="N38" s="48">
        <f t="shared" si="18"/>
        <v>5</v>
      </c>
      <c r="O38" s="48">
        <f t="shared" si="19"/>
        <v>0</v>
      </c>
      <c r="P38" s="48">
        <f t="shared" si="20"/>
        <v>0</v>
      </c>
      <c r="Q38" s="49">
        <v>1</v>
      </c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S38" s="76"/>
    </row>
    <row r="39" spans="1:45" s="33" customFormat="1" ht="18.899999999999999" customHeight="1" x14ac:dyDescent="0.35">
      <c r="C39" s="72"/>
      <c r="D39" s="68" t="s">
        <v>105</v>
      </c>
      <c r="E39" s="65"/>
      <c r="F39" s="52">
        <v>42394</v>
      </c>
      <c r="G39" s="52">
        <v>42405</v>
      </c>
      <c r="H39" s="52"/>
      <c r="I39" s="52"/>
      <c r="J39" s="50"/>
      <c r="K39" s="55" t="str">
        <f t="shared" si="8"/>
        <v>완료</v>
      </c>
      <c r="L39" s="83" t="s">
        <v>181</v>
      </c>
      <c r="M39" s="48">
        <f t="shared" si="17"/>
        <v>5</v>
      </c>
      <c r="N39" s="48">
        <f t="shared" si="18"/>
        <v>2</v>
      </c>
      <c r="O39" s="48">
        <f t="shared" si="19"/>
        <v>0</v>
      </c>
      <c r="P39" s="48">
        <f t="shared" si="20"/>
        <v>0</v>
      </c>
      <c r="Q39" s="49">
        <v>1</v>
      </c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S39" s="76"/>
    </row>
    <row r="40" spans="1:45" s="33" customFormat="1" ht="18.899999999999999" customHeight="1" x14ac:dyDescent="0.35">
      <c r="C40" s="72"/>
      <c r="D40" s="68" t="s">
        <v>106</v>
      </c>
      <c r="E40" s="65"/>
      <c r="F40" s="52">
        <v>42415</v>
      </c>
      <c r="G40" s="52">
        <v>42426</v>
      </c>
      <c r="H40" s="52"/>
      <c r="I40" s="52"/>
      <c r="J40" s="50"/>
      <c r="K40" s="55" t="str">
        <f t="shared" si="8"/>
        <v>진행 중</v>
      </c>
      <c r="L40" s="83" t="s">
        <v>182</v>
      </c>
      <c r="M40" s="48">
        <f t="shared" si="17"/>
        <v>8</v>
      </c>
      <c r="N40" s="48">
        <f t="shared" si="18"/>
        <v>2</v>
      </c>
      <c r="O40" s="48">
        <f t="shared" si="19"/>
        <v>0</v>
      </c>
      <c r="P40" s="48">
        <f t="shared" si="20"/>
        <v>0</v>
      </c>
      <c r="Q40" s="49">
        <v>0.1</v>
      </c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S40" s="76"/>
    </row>
    <row r="41" spans="1:45" s="33" customFormat="1" ht="18.899999999999999" customHeight="1" x14ac:dyDescent="0.35">
      <c r="C41" s="72"/>
      <c r="D41" s="68" t="s">
        <v>107</v>
      </c>
      <c r="E41" s="65"/>
      <c r="F41" s="52">
        <v>42401</v>
      </c>
      <c r="G41" s="52">
        <v>42405</v>
      </c>
      <c r="H41" s="52"/>
      <c r="I41" s="52"/>
      <c r="J41" s="50"/>
      <c r="K41" s="55" t="str">
        <f t="shared" si="8"/>
        <v>진행 대기</v>
      </c>
      <c r="L41" s="83" t="s">
        <v>183</v>
      </c>
      <c r="M41" s="48">
        <f t="shared" si="17"/>
        <v>6</v>
      </c>
      <c r="N41" s="48">
        <f t="shared" si="18"/>
        <v>1</v>
      </c>
      <c r="O41" s="48">
        <f t="shared" si="19"/>
        <v>0</v>
      </c>
      <c r="P41" s="48">
        <f t="shared" si="20"/>
        <v>0</v>
      </c>
      <c r="Q41" s="49">
        <v>0</v>
      </c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S41" s="76"/>
    </row>
    <row r="42" spans="1:45" s="33" customFormat="1" ht="18.899999999999999" customHeight="1" x14ac:dyDescent="0.35">
      <c r="C42" s="72"/>
      <c r="D42" s="67" t="s">
        <v>108</v>
      </c>
      <c r="E42" s="65"/>
      <c r="F42" s="52">
        <v>42401</v>
      </c>
      <c r="G42" s="52">
        <v>42412</v>
      </c>
      <c r="H42" s="52"/>
      <c r="I42" s="52"/>
      <c r="J42" s="50"/>
      <c r="K42" s="55"/>
      <c r="L42" s="83"/>
      <c r="M42" s="48">
        <f t="shared" si="17"/>
        <v>6</v>
      </c>
      <c r="N42" s="48">
        <f t="shared" si="18"/>
        <v>2</v>
      </c>
      <c r="O42" s="48">
        <f t="shared" si="19"/>
        <v>0</v>
      </c>
      <c r="P42" s="48">
        <f t="shared" si="20"/>
        <v>0</v>
      </c>
      <c r="Q42" s="49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S42" s="76"/>
    </row>
    <row r="43" spans="1:45" s="33" customFormat="1" ht="18.899999999999999" customHeight="1" x14ac:dyDescent="0.35">
      <c r="C43" s="72"/>
      <c r="D43" s="67" t="s">
        <v>119</v>
      </c>
      <c r="E43" s="47"/>
      <c r="F43" s="52"/>
      <c r="G43" s="52"/>
      <c r="H43" s="52"/>
      <c r="I43" s="52"/>
      <c r="J43" s="50"/>
      <c r="K43" s="55"/>
      <c r="L43" s="83"/>
      <c r="M43" s="48">
        <f t="shared" si="17"/>
        <v>0</v>
      </c>
      <c r="N43" s="48">
        <f t="shared" si="18"/>
        <v>0</v>
      </c>
      <c r="O43" s="48">
        <f t="shared" si="19"/>
        <v>0</v>
      </c>
      <c r="P43" s="48">
        <f t="shared" si="20"/>
        <v>0</v>
      </c>
      <c r="Q43" s="49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S43" s="76"/>
    </row>
    <row r="44" spans="1:45" s="33" customFormat="1" ht="18.899999999999999" customHeight="1" x14ac:dyDescent="0.35">
      <c r="C44" s="72"/>
      <c r="D44" s="68" t="s">
        <v>120</v>
      </c>
      <c r="E44" s="47"/>
      <c r="F44" s="52">
        <v>42431</v>
      </c>
      <c r="G44" s="52">
        <v>42437</v>
      </c>
      <c r="H44" s="52"/>
      <c r="I44" s="52"/>
      <c r="J44" s="50"/>
      <c r="K44" s="55" t="str">
        <f t="shared" si="8"/>
        <v>진행 대기</v>
      </c>
      <c r="L44" s="83"/>
      <c r="M44" s="48">
        <f t="shared" si="17"/>
        <v>10</v>
      </c>
      <c r="N44" s="48">
        <f t="shared" si="18"/>
        <v>1</v>
      </c>
      <c r="O44" s="48">
        <f t="shared" si="19"/>
        <v>0</v>
      </c>
      <c r="P44" s="48">
        <f t="shared" si="20"/>
        <v>0</v>
      </c>
      <c r="Q44" s="49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S44" s="76"/>
    </row>
    <row r="45" spans="1:45" s="33" customFormat="1" ht="18.899999999999999" customHeight="1" x14ac:dyDescent="0.35">
      <c r="C45" s="72"/>
      <c r="D45" s="68" t="s">
        <v>121</v>
      </c>
      <c r="E45" s="65"/>
      <c r="F45" s="52">
        <v>42437</v>
      </c>
      <c r="G45" s="52">
        <v>42440</v>
      </c>
      <c r="H45" s="52"/>
      <c r="I45" s="52"/>
      <c r="J45" s="50"/>
      <c r="K45" s="55" t="str">
        <f t="shared" si="8"/>
        <v>진행 대기</v>
      </c>
      <c r="L45" s="83"/>
      <c r="M45" s="48">
        <f t="shared" si="17"/>
        <v>11</v>
      </c>
      <c r="N45" s="48">
        <f t="shared" si="18"/>
        <v>1</v>
      </c>
      <c r="O45" s="48">
        <f t="shared" si="19"/>
        <v>0</v>
      </c>
      <c r="P45" s="48">
        <f t="shared" si="20"/>
        <v>0</v>
      </c>
      <c r="Q45" s="49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S45" s="76"/>
    </row>
    <row r="46" spans="1:45" s="33" customFormat="1" ht="18.899999999999999" customHeight="1" x14ac:dyDescent="0.35">
      <c r="C46" s="72"/>
      <c r="D46" s="68" t="s">
        <v>122</v>
      </c>
      <c r="E46" s="47"/>
      <c r="F46" s="52">
        <v>42443</v>
      </c>
      <c r="G46" s="52">
        <v>42446</v>
      </c>
      <c r="H46" s="52"/>
      <c r="I46" s="52"/>
      <c r="J46" s="50"/>
      <c r="K46" s="55" t="str">
        <f t="shared" si="8"/>
        <v>진행 대기</v>
      </c>
      <c r="L46" s="83"/>
      <c r="M46" s="48">
        <f t="shared" si="17"/>
        <v>12</v>
      </c>
      <c r="N46" s="48">
        <f t="shared" si="18"/>
        <v>1</v>
      </c>
      <c r="O46" s="48">
        <f t="shared" si="19"/>
        <v>0</v>
      </c>
      <c r="P46" s="48">
        <f t="shared" si="20"/>
        <v>0</v>
      </c>
      <c r="Q46" s="49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S46" s="76"/>
    </row>
    <row r="47" spans="1:45" s="33" customFormat="1" ht="18.899999999999999" customHeight="1" x14ac:dyDescent="0.35">
      <c r="C47" s="72"/>
      <c r="D47" s="68" t="s">
        <v>168</v>
      </c>
      <c r="E47" s="47"/>
      <c r="F47" s="52">
        <v>42431</v>
      </c>
      <c r="G47" s="52">
        <v>42447</v>
      </c>
      <c r="H47" s="52"/>
      <c r="I47" s="52"/>
      <c r="J47" s="50"/>
      <c r="K47" s="55" t="str">
        <f t="shared" si="8"/>
        <v>진행 대기</v>
      </c>
      <c r="L47" s="83"/>
      <c r="M47" s="48">
        <f t="shared" si="17"/>
        <v>10</v>
      </c>
      <c r="N47" s="48">
        <f t="shared" si="18"/>
        <v>3</v>
      </c>
      <c r="O47" s="48">
        <f t="shared" si="19"/>
        <v>0</v>
      </c>
      <c r="P47" s="48">
        <f t="shared" si="20"/>
        <v>0</v>
      </c>
      <c r="Q47" s="49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S47" s="76"/>
    </row>
    <row r="48" spans="1:45" s="33" customFormat="1" ht="18.899999999999999" customHeight="1" x14ac:dyDescent="0.35">
      <c r="C48" s="72"/>
      <c r="D48" s="68" t="s">
        <v>186</v>
      </c>
      <c r="E48" s="65"/>
      <c r="F48" s="52"/>
      <c r="G48" s="52"/>
      <c r="H48" s="52"/>
      <c r="I48" s="52"/>
      <c r="J48" s="50"/>
      <c r="K48" s="55" t="str">
        <f t="shared" si="8"/>
        <v>진행 대기</v>
      </c>
      <c r="L48" s="83"/>
      <c r="M48" s="48">
        <f t="shared" si="17"/>
        <v>0</v>
      </c>
      <c r="N48" s="48">
        <f t="shared" si="18"/>
        <v>0</v>
      </c>
      <c r="O48" s="48">
        <f t="shared" si="19"/>
        <v>0</v>
      </c>
      <c r="P48" s="48">
        <f t="shared" si="20"/>
        <v>0</v>
      </c>
      <c r="Q48" s="49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S48" s="76"/>
    </row>
    <row r="49" spans="3:45" s="33" customFormat="1" ht="18.899999999999999" customHeight="1" x14ac:dyDescent="0.35">
      <c r="C49" s="72"/>
      <c r="D49" s="68" t="s">
        <v>169</v>
      </c>
      <c r="E49" s="47"/>
      <c r="F49" s="52">
        <v>42437</v>
      </c>
      <c r="G49" s="52">
        <v>42460</v>
      </c>
      <c r="H49" s="52"/>
      <c r="I49" s="52"/>
      <c r="J49" s="50"/>
      <c r="K49" s="55" t="str">
        <f t="shared" si="8"/>
        <v>진행 대기</v>
      </c>
      <c r="L49" s="83"/>
      <c r="M49" s="48">
        <f t="shared" si="17"/>
        <v>11</v>
      </c>
      <c r="N49" s="48">
        <f t="shared" si="18"/>
        <v>4</v>
      </c>
      <c r="O49" s="48">
        <f t="shared" si="19"/>
        <v>0</v>
      </c>
      <c r="P49" s="48">
        <f t="shared" si="20"/>
        <v>0</v>
      </c>
      <c r="Q49" s="49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S49" s="76"/>
    </row>
    <row r="50" spans="3:45" s="33" customFormat="1" ht="18.899999999999999" customHeight="1" x14ac:dyDescent="0.35">
      <c r="C50" s="72"/>
      <c r="D50" s="69" t="s">
        <v>193</v>
      </c>
      <c r="E50" s="47"/>
      <c r="F50" s="52"/>
      <c r="G50" s="52"/>
      <c r="H50" s="52"/>
      <c r="I50" s="52"/>
      <c r="J50" s="50"/>
      <c r="K50" s="55" t="str">
        <f t="shared" si="8"/>
        <v>진행 대기</v>
      </c>
      <c r="L50" s="83"/>
      <c r="M50" s="48">
        <f t="shared" si="17"/>
        <v>0</v>
      </c>
      <c r="N50" s="48">
        <f t="shared" si="18"/>
        <v>0</v>
      </c>
      <c r="O50" s="48">
        <f t="shared" si="19"/>
        <v>0</v>
      </c>
      <c r="P50" s="48">
        <f t="shared" si="20"/>
        <v>0</v>
      </c>
      <c r="Q50" s="49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S50" s="76"/>
    </row>
    <row r="51" spans="3:45" s="33" customFormat="1" ht="18.899999999999999" customHeight="1" x14ac:dyDescent="0.35">
      <c r="C51" s="72"/>
      <c r="D51" s="73" t="s">
        <v>170</v>
      </c>
      <c r="E51" s="47"/>
      <c r="F51" s="52">
        <v>42438</v>
      </c>
      <c r="G51" s="52">
        <v>42443</v>
      </c>
      <c r="H51" s="52"/>
      <c r="I51" s="52"/>
      <c r="J51" s="50"/>
      <c r="K51" s="55" t="str">
        <f t="shared" si="8"/>
        <v>진행 대기</v>
      </c>
      <c r="L51" s="83"/>
      <c r="M51" s="48">
        <f t="shared" si="17"/>
        <v>11</v>
      </c>
      <c r="N51" s="48">
        <f t="shared" si="18"/>
        <v>1</v>
      </c>
      <c r="O51" s="48">
        <f t="shared" si="19"/>
        <v>0</v>
      </c>
      <c r="P51" s="48">
        <f t="shared" si="20"/>
        <v>0</v>
      </c>
      <c r="Q51" s="49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S51" s="76"/>
    </row>
    <row r="52" spans="3:45" s="33" customFormat="1" ht="18.899999999999999" customHeight="1" x14ac:dyDescent="0.35">
      <c r="C52" s="72"/>
      <c r="D52" s="73" t="s">
        <v>110</v>
      </c>
      <c r="E52" s="47"/>
      <c r="F52" s="52">
        <v>42438</v>
      </c>
      <c r="G52" s="52">
        <v>42438</v>
      </c>
      <c r="H52" s="52"/>
      <c r="I52" s="52"/>
      <c r="J52" s="50"/>
      <c r="K52" s="55" t="str">
        <f t="shared" si="8"/>
        <v>진행 대기</v>
      </c>
      <c r="L52" s="83"/>
      <c r="M52" s="48">
        <f t="shared" si="17"/>
        <v>11</v>
      </c>
      <c r="N52" s="48">
        <f t="shared" si="18"/>
        <v>0</v>
      </c>
      <c r="O52" s="48">
        <f t="shared" si="19"/>
        <v>0</v>
      </c>
      <c r="P52" s="48">
        <f t="shared" si="20"/>
        <v>0</v>
      </c>
      <c r="Q52" s="49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S52" s="76"/>
    </row>
    <row r="53" spans="3:45" s="33" customFormat="1" ht="18.899999999999999" customHeight="1" x14ac:dyDescent="0.35">
      <c r="C53" s="72"/>
      <c r="D53" s="73" t="s">
        <v>124</v>
      </c>
      <c r="E53" s="47"/>
      <c r="F53" s="52">
        <v>42444</v>
      </c>
      <c r="G53" s="52">
        <v>42454</v>
      </c>
      <c r="H53" s="52"/>
      <c r="I53" s="52"/>
      <c r="J53" s="50"/>
      <c r="K53" s="55" t="str">
        <f t="shared" si="8"/>
        <v>진행 대기</v>
      </c>
      <c r="L53" s="83"/>
      <c r="M53" s="48">
        <f t="shared" si="17"/>
        <v>12</v>
      </c>
      <c r="N53" s="48">
        <f t="shared" si="18"/>
        <v>2</v>
      </c>
      <c r="O53" s="48">
        <f t="shared" si="19"/>
        <v>0</v>
      </c>
      <c r="P53" s="48">
        <f t="shared" si="20"/>
        <v>0</v>
      </c>
      <c r="Q53" s="49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S53" s="76"/>
    </row>
    <row r="54" spans="3:45" s="33" customFormat="1" ht="18.899999999999999" customHeight="1" x14ac:dyDescent="0.35">
      <c r="C54" s="72"/>
      <c r="D54" s="73" t="s">
        <v>125</v>
      </c>
      <c r="E54" s="47"/>
      <c r="F54" s="52">
        <v>42438</v>
      </c>
      <c r="G54" s="52">
        <v>42440</v>
      </c>
      <c r="H54" s="52"/>
      <c r="I54" s="52"/>
      <c r="J54" s="50"/>
      <c r="K54" s="55" t="str">
        <f t="shared" si="8"/>
        <v>진행 대기</v>
      </c>
      <c r="L54" s="83"/>
      <c r="M54" s="48">
        <f t="shared" si="17"/>
        <v>11</v>
      </c>
      <c r="N54" s="48">
        <f t="shared" si="18"/>
        <v>1</v>
      </c>
      <c r="O54" s="48">
        <f t="shared" si="19"/>
        <v>0</v>
      </c>
      <c r="P54" s="48">
        <f t="shared" si="20"/>
        <v>0</v>
      </c>
      <c r="Q54" s="49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S54" s="76"/>
    </row>
    <row r="55" spans="3:45" s="33" customFormat="1" ht="18.899999999999999" customHeight="1" x14ac:dyDescent="0.35">
      <c r="C55" s="72"/>
      <c r="D55" s="73" t="s">
        <v>126</v>
      </c>
      <c r="E55" s="47"/>
      <c r="F55" s="52">
        <v>42457</v>
      </c>
      <c r="G55" s="52">
        <v>42460</v>
      </c>
      <c r="H55" s="52"/>
      <c r="I55" s="52"/>
      <c r="J55" s="50"/>
      <c r="K55" s="55" t="str">
        <f t="shared" si="8"/>
        <v>진행 대기</v>
      </c>
      <c r="L55" s="83"/>
      <c r="M55" s="48">
        <f t="shared" si="17"/>
        <v>14</v>
      </c>
      <c r="N55" s="48">
        <f t="shared" si="18"/>
        <v>1</v>
      </c>
      <c r="O55" s="48">
        <f t="shared" si="19"/>
        <v>0</v>
      </c>
      <c r="P55" s="48">
        <f t="shared" si="20"/>
        <v>0</v>
      </c>
      <c r="Q55" s="49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S55" s="76"/>
    </row>
    <row r="56" spans="3:45" s="33" customFormat="1" ht="18.899999999999999" customHeight="1" x14ac:dyDescent="0.35">
      <c r="C56" s="72"/>
      <c r="D56" s="69" t="s">
        <v>127</v>
      </c>
      <c r="E56" s="47"/>
      <c r="F56" s="52"/>
      <c r="G56" s="52"/>
      <c r="H56" s="52"/>
      <c r="I56" s="52"/>
      <c r="J56" s="50"/>
      <c r="K56" s="55" t="str">
        <f t="shared" si="8"/>
        <v>진행 대기</v>
      </c>
      <c r="L56" s="83"/>
      <c r="M56" s="48">
        <f t="shared" si="17"/>
        <v>0</v>
      </c>
      <c r="N56" s="48">
        <f t="shared" si="18"/>
        <v>0</v>
      </c>
      <c r="O56" s="48">
        <f t="shared" si="19"/>
        <v>0</v>
      </c>
      <c r="P56" s="48">
        <f t="shared" si="20"/>
        <v>0</v>
      </c>
      <c r="Q56" s="49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S56" s="76"/>
    </row>
    <row r="57" spans="3:45" s="33" customFormat="1" ht="18.899999999999999" customHeight="1" x14ac:dyDescent="0.35">
      <c r="C57" s="72"/>
      <c r="D57" s="73" t="s">
        <v>128</v>
      </c>
      <c r="E57" s="47"/>
      <c r="F57" s="52">
        <v>42443</v>
      </c>
      <c r="G57" s="52">
        <v>42447</v>
      </c>
      <c r="H57" s="52"/>
      <c r="I57" s="52"/>
      <c r="J57" s="50"/>
      <c r="K57" s="55" t="str">
        <f t="shared" si="8"/>
        <v>진행 대기</v>
      </c>
      <c r="L57" s="83"/>
      <c r="M57" s="48">
        <f t="shared" si="17"/>
        <v>12</v>
      </c>
      <c r="N57" s="48">
        <f t="shared" si="18"/>
        <v>1</v>
      </c>
      <c r="O57" s="48">
        <f t="shared" si="19"/>
        <v>0</v>
      </c>
      <c r="P57" s="48">
        <f t="shared" si="20"/>
        <v>0</v>
      </c>
      <c r="Q57" s="49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S57" s="76"/>
    </row>
    <row r="58" spans="3:45" s="33" customFormat="1" ht="18.899999999999999" customHeight="1" x14ac:dyDescent="0.35">
      <c r="C58" s="72"/>
      <c r="D58" s="73" t="s">
        <v>129</v>
      </c>
      <c r="E58" s="47"/>
      <c r="F58" s="52">
        <v>42447</v>
      </c>
      <c r="G58" s="52">
        <v>42447</v>
      </c>
      <c r="H58" s="52"/>
      <c r="I58" s="52"/>
      <c r="J58" s="50"/>
      <c r="K58" s="55" t="str">
        <f t="shared" si="8"/>
        <v>진행 대기</v>
      </c>
      <c r="L58" s="83"/>
      <c r="M58" s="48">
        <f t="shared" si="17"/>
        <v>12</v>
      </c>
      <c r="N58" s="48">
        <f t="shared" si="18"/>
        <v>0</v>
      </c>
      <c r="O58" s="48">
        <f t="shared" si="19"/>
        <v>0</v>
      </c>
      <c r="P58" s="48">
        <f t="shared" si="20"/>
        <v>0</v>
      </c>
      <c r="Q58" s="49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S58" s="76"/>
    </row>
    <row r="59" spans="3:45" s="33" customFormat="1" ht="18.899999999999999" customHeight="1" x14ac:dyDescent="0.35">
      <c r="C59" s="72"/>
      <c r="D59" s="73" t="s">
        <v>130</v>
      </c>
      <c r="E59" s="47"/>
      <c r="F59" s="52">
        <v>42447</v>
      </c>
      <c r="G59" s="52">
        <v>42460</v>
      </c>
      <c r="H59" s="52"/>
      <c r="I59" s="52"/>
      <c r="J59" s="50"/>
      <c r="K59" s="55" t="str">
        <f t="shared" si="8"/>
        <v>진행 대기</v>
      </c>
      <c r="L59" s="83"/>
      <c r="M59" s="48">
        <f t="shared" si="17"/>
        <v>12</v>
      </c>
      <c r="N59" s="48">
        <f t="shared" si="18"/>
        <v>2</v>
      </c>
      <c r="O59" s="48">
        <f t="shared" si="19"/>
        <v>0</v>
      </c>
      <c r="P59" s="48">
        <f t="shared" si="20"/>
        <v>0</v>
      </c>
      <c r="Q59" s="49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S59" s="76"/>
    </row>
    <row r="60" spans="3:45" s="33" customFormat="1" ht="18.899999999999999" customHeight="1" x14ac:dyDescent="0.35">
      <c r="C60" s="72"/>
      <c r="D60" s="73" t="s">
        <v>131</v>
      </c>
      <c r="E60" s="47"/>
      <c r="F60" s="52">
        <v>42443</v>
      </c>
      <c r="G60" s="52">
        <v>42446</v>
      </c>
      <c r="H60" s="52"/>
      <c r="I60" s="52"/>
      <c r="J60" s="50"/>
      <c r="K60" s="55" t="str">
        <f t="shared" si="8"/>
        <v>진행 대기</v>
      </c>
      <c r="L60" s="83"/>
      <c r="M60" s="48">
        <f t="shared" si="17"/>
        <v>12</v>
      </c>
      <c r="N60" s="48">
        <f t="shared" si="18"/>
        <v>1</v>
      </c>
      <c r="O60" s="48">
        <f t="shared" si="19"/>
        <v>0</v>
      </c>
      <c r="P60" s="48">
        <f t="shared" si="20"/>
        <v>0</v>
      </c>
      <c r="Q60" s="49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S60" s="76"/>
    </row>
    <row r="61" spans="3:45" s="33" customFormat="1" ht="18.899999999999999" customHeight="1" x14ac:dyDescent="0.35">
      <c r="C61" s="72"/>
      <c r="D61" s="73" t="s">
        <v>132</v>
      </c>
      <c r="E61" s="47"/>
      <c r="F61" s="52">
        <v>42457</v>
      </c>
      <c r="G61" s="52">
        <v>42460</v>
      </c>
      <c r="H61" s="52"/>
      <c r="I61" s="52"/>
      <c r="J61" s="50"/>
      <c r="K61" s="55" t="str">
        <f t="shared" si="8"/>
        <v>진행 대기</v>
      </c>
      <c r="L61" s="83"/>
      <c r="M61" s="48">
        <f t="shared" si="17"/>
        <v>14</v>
      </c>
      <c r="N61" s="48">
        <f t="shared" si="18"/>
        <v>1</v>
      </c>
      <c r="O61" s="48">
        <f t="shared" si="19"/>
        <v>0</v>
      </c>
      <c r="P61" s="48">
        <f t="shared" si="20"/>
        <v>0</v>
      </c>
      <c r="Q61" s="49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S61" s="76"/>
    </row>
    <row r="62" spans="3:45" s="33" customFormat="1" ht="18.899999999999999" customHeight="1" x14ac:dyDescent="0.35">
      <c r="C62" s="72"/>
      <c r="D62" s="69" t="s">
        <v>133</v>
      </c>
      <c r="E62" s="47"/>
      <c r="F62" s="52"/>
      <c r="G62" s="52"/>
      <c r="H62" s="52"/>
      <c r="I62" s="52"/>
      <c r="J62" s="50"/>
      <c r="K62" s="55" t="str">
        <f t="shared" si="8"/>
        <v>진행 대기</v>
      </c>
      <c r="L62" s="83"/>
      <c r="M62" s="48">
        <f t="shared" si="17"/>
        <v>0</v>
      </c>
      <c r="N62" s="48">
        <f t="shared" si="18"/>
        <v>0</v>
      </c>
      <c r="O62" s="48">
        <f t="shared" si="19"/>
        <v>0</v>
      </c>
      <c r="P62" s="48">
        <f t="shared" si="20"/>
        <v>0</v>
      </c>
      <c r="Q62" s="49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S62" s="76"/>
    </row>
    <row r="63" spans="3:45" s="33" customFormat="1" ht="18.899999999999999" customHeight="1" x14ac:dyDescent="0.35">
      <c r="C63" s="72"/>
      <c r="D63" s="73" t="s">
        <v>128</v>
      </c>
      <c r="E63" s="47"/>
      <c r="F63" s="52">
        <v>42447</v>
      </c>
      <c r="G63" s="52">
        <v>42452</v>
      </c>
      <c r="H63" s="52"/>
      <c r="I63" s="52"/>
      <c r="J63" s="50"/>
      <c r="K63" s="55" t="str">
        <f t="shared" si="8"/>
        <v>진행 대기</v>
      </c>
      <c r="L63" s="83"/>
      <c r="M63" s="48">
        <f t="shared" si="17"/>
        <v>12</v>
      </c>
      <c r="N63" s="48">
        <f t="shared" si="18"/>
        <v>1</v>
      </c>
      <c r="O63" s="48">
        <f t="shared" si="19"/>
        <v>0</v>
      </c>
      <c r="P63" s="48">
        <f t="shared" si="20"/>
        <v>0</v>
      </c>
      <c r="Q63" s="49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S63" s="76"/>
    </row>
    <row r="64" spans="3:45" s="33" customFormat="1" ht="18.899999999999999" customHeight="1" x14ac:dyDescent="0.35">
      <c r="C64" s="72"/>
      <c r="D64" s="73" t="s">
        <v>129</v>
      </c>
      <c r="E64" s="47"/>
      <c r="F64" s="52">
        <v>42452</v>
      </c>
      <c r="G64" s="52">
        <v>42452</v>
      </c>
      <c r="H64" s="52"/>
      <c r="I64" s="52"/>
      <c r="J64" s="50"/>
      <c r="K64" s="55" t="str">
        <f t="shared" si="8"/>
        <v>진행 대기</v>
      </c>
      <c r="L64" s="83"/>
      <c r="M64" s="48">
        <f t="shared" si="17"/>
        <v>13</v>
      </c>
      <c r="N64" s="48">
        <f t="shared" si="18"/>
        <v>0</v>
      </c>
      <c r="O64" s="48">
        <f t="shared" si="19"/>
        <v>0</v>
      </c>
      <c r="P64" s="48">
        <f t="shared" si="20"/>
        <v>0</v>
      </c>
      <c r="Q64" s="49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S64" s="76"/>
    </row>
    <row r="65" spans="3:45" s="33" customFormat="1" ht="18.899999999999999" customHeight="1" x14ac:dyDescent="0.35">
      <c r="C65" s="72"/>
      <c r="D65" s="73" t="s">
        <v>130</v>
      </c>
      <c r="E65" s="47"/>
      <c r="F65" s="52">
        <v>42452</v>
      </c>
      <c r="G65" s="52">
        <v>42460</v>
      </c>
      <c r="H65" s="52"/>
      <c r="I65" s="52"/>
      <c r="J65" s="50"/>
      <c r="K65" s="55" t="str">
        <f t="shared" si="8"/>
        <v>진행 대기</v>
      </c>
      <c r="L65" s="83"/>
      <c r="M65" s="48">
        <f t="shared" si="17"/>
        <v>13</v>
      </c>
      <c r="N65" s="48">
        <f t="shared" si="18"/>
        <v>2</v>
      </c>
      <c r="O65" s="48">
        <f t="shared" si="19"/>
        <v>0</v>
      </c>
      <c r="P65" s="48">
        <f t="shared" si="20"/>
        <v>0</v>
      </c>
      <c r="Q65" s="49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S65" s="76"/>
    </row>
    <row r="66" spans="3:45" s="33" customFormat="1" ht="18.899999999999999" customHeight="1" x14ac:dyDescent="0.35">
      <c r="C66" s="72"/>
      <c r="D66" s="73" t="s">
        <v>131</v>
      </c>
      <c r="E66" s="47"/>
      <c r="F66" s="52">
        <v>42447</v>
      </c>
      <c r="G66" s="52">
        <v>42452</v>
      </c>
      <c r="H66" s="52"/>
      <c r="I66" s="52"/>
      <c r="J66" s="50"/>
      <c r="K66" s="55" t="str">
        <f t="shared" si="8"/>
        <v>진행 대기</v>
      </c>
      <c r="L66" s="83"/>
      <c r="M66" s="48">
        <f t="shared" si="17"/>
        <v>12</v>
      </c>
      <c r="N66" s="48">
        <f t="shared" si="18"/>
        <v>1</v>
      </c>
      <c r="O66" s="48">
        <f t="shared" si="19"/>
        <v>0</v>
      </c>
      <c r="P66" s="48">
        <f t="shared" si="20"/>
        <v>0</v>
      </c>
      <c r="Q66" s="49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S66" s="76"/>
    </row>
    <row r="67" spans="3:45" s="33" customFormat="1" ht="18.899999999999999" customHeight="1" x14ac:dyDescent="0.35">
      <c r="C67" s="72"/>
      <c r="D67" s="73" t="s">
        <v>132</v>
      </c>
      <c r="E67" s="47"/>
      <c r="F67" s="52">
        <v>42461</v>
      </c>
      <c r="G67" s="52">
        <v>42468</v>
      </c>
      <c r="H67" s="52"/>
      <c r="I67" s="52"/>
      <c r="J67" s="50"/>
      <c r="K67" s="55" t="str">
        <f t="shared" si="8"/>
        <v>진행 대기</v>
      </c>
      <c r="L67" s="83"/>
      <c r="M67" s="48">
        <f t="shared" si="17"/>
        <v>14</v>
      </c>
      <c r="N67" s="48">
        <f t="shared" si="18"/>
        <v>1</v>
      </c>
      <c r="O67" s="48">
        <f t="shared" si="19"/>
        <v>0</v>
      </c>
      <c r="P67" s="48">
        <f t="shared" si="20"/>
        <v>0</v>
      </c>
      <c r="Q67" s="49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S67" s="76"/>
    </row>
    <row r="68" spans="3:45" s="33" customFormat="1" ht="18.899999999999999" customHeight="1" x14ac:dyDescent="0.35">
      <c r="C68" s="72"/>
      <c r="D68" s="69" t="s">
        <v>159</v>
      </c>
      <c r="E68" s="47"/>
      <c r="F68" s="52"/>
      <c r="G68" s="52"/>
      <c r="H68" s="52"/>
      <c r="I68" s="52"/>
      <c r="J68" s="50"/>
      <c r="K68" s="55" t="str">
        <f t="shared" si="8"/>
        <v>진행 대기</v>
      </c>
      <c r="L68" s="83"/>
      <c r="M68" s="48">
        <f t="shared" si="17"/>
        <v>0</v>
      </c>
      <c r="N68" s="48">
        <f t="shared" si="18"/>
        <v>0</v>
      </c>
      <c r="O68" s="48">
        <f t="shared" si="19"/>
        <v>0</v>
      </c>
      <c r="P68" s="48">
        <f t="shared" si="20"/>
        <v>0</v>
      </c>
      <c r="Q68" s="49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S68" s="76"/>
    </row>
    <row r="69" spans="3:45" s="33" customFormat="1" ht="18.899999999999999" customHeight="1" x14ac:dyDescent="0.35">
      <c r="C69" s="72"/>
      <c r="D69" s="73" t="s">
        <v>123</v>
      </c>
      <c r="E69" s="65"/>
      <c r="F69" s="52">
        <v>42431</v>
      </c>
      <c r="G69" s="52">
        <v>42440</v>
      </c>
      <c r="H69" s="52"/>
      <c r="I69" s="52"/>
      <c r="J69" s="50"/>
      <c r="K69" s="55" t="str">
        <f t="shared" si="8"/>
        <v>진행 대기</v>
      </c>
      <c r="L69" s="83"/>
      <c r="M69" s="48">
        <f t="shared" si="17"/>
        <v>10</v>
      </c>
      <c r="N69" s="48">
        <f t="shared" si="18"/>
        <v>2</v>
      </c>
      <c r="O69" s="48">
        <f t="shared" si="19"/>
        <v>0</v>
      </c>
      <c r="P69" s="48">
        <f t="shared" si="20"/>
        <v>0</v>
      </c>
      <c r="Q69" s="49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S69" s="76"/>
    </row>
    <row r="70" spans="3:45" s="33" customFormat="1" ht="18.899999999999999" customHeight="1" x14ac:dyDescent="0.35">
      <c r="C70" s="72"/>
      <c r="D70" s="73" t="s">
        <v>110</v>
      </c>
      <c r="E70" s="65"/>
      <c r="F70" s="52">
        <v>42443</v>
      </c>
      <c r="G70" s="52">
        <v>42445</v>
      </c>
      <c r="H70" s="52"/>
      <c r="I70" s="52"/>
      <c r="J70" s="50"/>
      <c r="K70" s="55" t="str">
        <f t="shared" si="8"/>
        <v>진행 대기</v>
      </c>
      <c r="L70" s="83"/>
      <c r="M70" s="48">
        <f t="shared" si="17"/>
        <v>12</v>
      </c>
      <c r="N70" s="48">
        <f t="shared" si="18"/>
        <v>1</v>
      </c>
      <c r="O70" s="48">
        <f t="shared" si="19"/>
        <v>0</v>
      </c>
      <c r="P70" s="48">
        <f t="shared" si="20"/>
        <v>0</v>
      </c>
      <c r="Q70" s="49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S70" s="76"/>
    </row>
    <row r="71" spans="3:45" s="33" customFormat="1" ht="18.899999999999999" customHeight="1" x14ac:dyDescent="0.35">
      <c r="C71" s="72"/>
      <c r="D71" s="73" t="s">
        <v>160</v>
      </c>
      <c r="E71" s="65"/>
      <c r="F71" s="52">
        <v>42446</v>
      </c>
      <c r="G71" s="52">
        <v>42454</v>
      </c>
      <c r="H71" s="52"/>
      <c r="I71" s="52"/>
      <c r="J71" s="50"/>
      <c r="K71" s="55" t="str">
        <f t="shared" si="8"/>
        <v>진행 대기</v>
      </c>
      <c r="L71" s="83"/>
      <c r="M71" s="48">
        <f t="shared" si="17"/>
        <v>12</v>
      </c>
      <c r="N71" s="48">
        <f t="shared" si="18"/>
        <v>2</v>
      </c>
      <c r="O71" s="48">
        <f t="shared" si="19"/>
        <v>0</v>
      </c>
      <c r="P71" s="48">
        <f t="shared" si="20"/>
        <v>0</v>
      </c>
      <c r="Q71" s="49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S71" s="76"/>
    </row>
    <row r="72" spans="3:45" s="33" customFormat="1" ht="18.899999999999999" customHeight="1" x14ac:dyDescent="0.35">
      <c r="C72" s="72"/>
      <c r="D72" s="73" t="s">
        <v>161</v>
      </c>
      <c r="E72" s="65"/>
      <c r="F72" s="52">
        <v>42478</v>
      </c>
      <c r="G72" s="52">
        <v>42482</v>
      </c>
      <c r="H72" s="52"/>
      <c r="I72" s="52"/>
      <c r="J72" s="50"/>
      <c r="K72" s="55" t="str">
        <f t="shared" si="8"/>
        <v>진행 대기</v>
      </c>
      <c r="L72" s="83"/>
      <c r="M72" s="48">
        <f t="shared" si="17"/>
        <v>17</v>
      </c>
      <c r="N72" s="48">
        <f t="shared" si="18"/>
        <v>1</v>
      </c>
      <c r="O72" s="48">
        <f t="shared" si="19"/>
        <v>0</v>
      </c>
      <c r="P72" s="48">
        <f t="shared" si="20"/>
        <v>0</v>
      </c>
      <c r="Q72" s="49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S72" s="76"/>
    </row>
    <row r="73" spans="3:45" s="33" customFormat="1" ht="18.899999999999999" customHeight="1" x14ac:dyDescent="0.35">
      <c r="C73" s="72"/>
      <c r="D73" s="73" t="s">
        <v>162</v>
      </c>
      <c r="E73" s="65"/>
      <c r="F73" s="52">
        <v>42457</v>
      </c>
      <c r="G73" s="52">
        <v>42475</v>
      </c>
      <c r="H73" s="52"/>
      <c r="I73" s="52"/>
      <c r="J73" s="50"/>
      <c r="K73" s="55" t="str">
        <f t="shared" si="8"/>
        <v>진행 대기</v>
      </c>
      <c r="L73" s="83"/>
      <c r="M73" s="48">
        <f t="shared" si="17"/>
        <v>14</v>
      </c>
      <c r="N73" s="48">
        <f t="shared" si="18"/>
        <v>3</v>
      </c>
      <c r="O73" s="48">
        <f t="shared" si="19"/>
        <v>0</v>
      </c>
      <c r="P73" s="48">
        <f t="shared" si="20"/>
        <v>0</v>
      </c>
      <c r="Q73" s="49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S73" s="76"/>
    </row>
    <row r="74" spans="3:45" s="33" customFormat="1" ht="18.899999999999999" customHeight="1" x14ac:dyDescent="0.35">
      <c r="C74" s="72"/>
      <c r="D74" s="69" t="s">
        <v>185</v>
      </c>
      <c r="E74" s="65"/>
      <c r="F74" s="52"/>
      <c r="G74" s="52"/>
      <c r="H74" s="52"/>
      <c r="I74" s="52"/>
      <c r="J74" s="50"/>
      <c r="K74" s="55" t="str">
        <f t="shared" si="8"/>
        <v>진행 대기</v>
      </c>
      <c r="L74" s="83"/>
      <c r="M74" s="48">
        <f t="shared" si="17"/>
        <v>0</v>
      </c>
      <c r="N74" s="48">
        <f t="shared" si="18"/>
        <v>0</v>
      </c>
      <c r="O74" s="48">
        <f t="shared" si="19"/>
        <v>0</v>
      </c>
      <c r="P74" s="48">
        <f t="shared" si="20"/>
        <v>0</v>
      </c>
      <c r="Q74" s="49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S74" s="76"/>
    </row>
    <row r="75" spans="3:45" s="33" customFormat="1" ht="18.899999999999999" customHeight="1" x14ac:dyDescent="0.35">
      <c r="C75" s="72"/>
      <c r="D75" s="73" t="s">
        <v>187</v>
      </c>
      <c r="E75" s="65"/>
      <c r="F75" s="52">
        <v>42437</v>
      </c>
      <c r="G75" s="52">
        <v>42440</v>
      </c>
      <c r="H75" s="52"/>
      <c r="I75" s="52"/>
      <c r="J75" s="50"/>
      <c r="K75" s="55" t="str">
        <f t="shared" si="8"/>
        <v>진행 대기</v>
      </c>
      <c r="L75" s="83"/>
      <c r="M75" s="48">
        <f t="shared" si="17"/>
        <v>11</v>
      </c>
      <c r="N75" s="48">
        <f t="shared" si="18"/>
        <v>1</v>
      </c>
      <c r="O75" s="48">
        <f t="shared" si="19"/>
        <v>0</v>
      </c>
      <c r="P75" s="48">
        <f t="shared" si="20"/>
        <v>0</v>
      </c>
      <c r="Q75" s="49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S75" s="76"/>
    </row>
    <row r="76" spans="3:45" s="33" customFormat="1" ht="18.899999999999999" customHeight="1" x14ac:dyDescent="0.35">
      <c r="C76" s="72"/>
      <c r="D76" s="73" t="s">
        <v>188</v>
      </c>
      <c r="E76" s="65"/>
      <c r="F76" s="52">
        <v>42443</v>
      </c>
      <c r="G76" s="52">
        <v>42445</v>
      </c>
      <c r="H76" s="52"/>
      <c r="I76" s="52"/>
      <c r="J76" s="50"/>
      <c r="K76" s="55" t="str">
        <f t="shared" si="8"/>
        <v>진행 대기</v>
      </c>
      <c r="L76" s="83"/>
      <c r="M76" s="48">
        <f t="shared" si="17"/>
        <v>12</v>
      </c>
      <c r="N76" s="48">
        <f t="shared" si="18"/>
        <v>1</v>
      </c>
      <c r="O76" s="48">
        <f t="shared" si="19"/>
        <v>0</v>
      </c>
      <c r="P76" s="48">
        <f t="shared" si="20"/>
        <v>0</v>
      </c>
      <c r="Q76" s="49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S76" s="76"/>
    </row>
    <row r="77" spans="3:45" s="33" customFormat="1" ht="18.899999999999999" customHeight="1" x14ac:dyDescent="0.35">
      <c r="C77" s="72"/>
      <c r="D77" s="73" t="s">
        <v>124</v>
      </c>
      <c r="E77" s="65"/>
      <c r="F77" s="52">
        <v>42446</v>
      </c>
      <c r="G77" s="52">
        <v>42454</v>
      </c>
      <c r="H77" s="52"/>
      <c r="I77" s="52"/>
      <c r="J77" s="50"/>
      <c r="K77" s="55" t="str">
        <f t="shared" si="8"/>
        <v>진행 대기</v>
      </c>
      <c r="L77" s="83"/>
      <c r="M77" s="48">
        <f t="shared" si="17"/>
        <v>12</v>
      </c>
      <c r="N77" s="48">
        <f t="shared" si="18"/>
        <v>2</v>
      </c>
      <c r="O77" s="48">
        <f t="shared" si="19"/>
        <v>0</v>
      </c>
      <c r="P77" s="48">
        <f t="shared" si="20"/>
        <v>0</v>
      </c>
      <c r="Q77" s="49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S77" s="76"/>
    </row>
    <row r="78" spans="3:45" s="33" customFormat="1" ht="18.899999999999999" customHeight="1" x14ac:dyDescent="0.35">
      <c r="C78" s="72"/>
      <c r="D78" s="73" t="s">
        <v>125</v>
      </c>
      <c r="E78" s="65"/>
      <c r="F78" s="52">
        <v>42443</v>
      </c>
      <c r="G78" s="52">
        <v>42445</v>
      </c>
      <c r="H78" s="52"/>
      <c r="I78" s="52"/>
      <c r="J78" s="50"/>
      <c r="K78" s="55" t="str">
        <f t="shared" si="8"/>
        <v>진행 대기</v>
      </c>
      <c r="L78" s="83"/>
      <c r="M78" s="48">
        <f t="shared" si="17"/>
        <v>12</v>
      </c>
      <c r="N78" s="48">
        <f t="shared" si="18"/>
        <v>1</v>
      </c>
      <c r="O78" s="48">
        <f t="shared" si="19"/>
        <v>0</v>
      </c>
      <c r="P78" s="48">
        <f t="shared" si="20"/>
        <v>0</v>
      </c>
      <c r="Q78" s="49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S78" s="76"/>
    </row>
    <row r="79" spans="3:45" s="33" customFormat="1" ht="18.899999999999999" customHeight="1" x14ac:dyDescent="0.35">
      <c r="C79" s="72"/>
      <c r="D79" s="73" t="s">
        <v>126</v>
      </c>
      <c r="E79" s="65"/>
      <c r="F79" s="52">
        <v>42457</v>
      </c>
      <c r="G79" s="52">
        <v>42471</v>
      </c>
      <c r="H79" s="52"/>
      <c r="I79" s="52"/>
      <c r="J79" s="50"/>
      <c r="K79" s="55" t="str">
        <f t="shared" si="8"/>
        <v>진행 대기</v>
      </c>
      <c r="L79" s="83"/>
      <c r="M79" s="48">
        <f t="shared" si="17"/>
        <v>14</v>
      </c>
      <c r="N79" s="48">
        <f t="shared" si="18"/>
        <v>2</v>
      </c>
      <c r="O79" s="48">
        <f t="shared" si="19"/>
        <v>0</v>
      </c>
      <c r="P79" s="48">
        <f t="shared" si="20"/>
        <v>0</v>
      </c>
      <c r="Q79" s="49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S79" s="76"/>
    </row>
    <row r="80" spans="3:45" s="33" customFormat="1" ht="18.899999999999999" customHeight="1" x14ac:dyDescent="0.35">
      <c r="C80" s="72"/>
      <c r="D80" s="68" t="s">
        <v>134</v>
      </c>
      <c r="E80" s="65"/>
      <c r="F80" s="52">
        <v>42471</v>
      </c>
      <c r="G80" s="52">
        <v>42473</v>
      </c>
      <c r="H80" s="52"/>
      <c r="I80" s="52"/>
      <c r="J80" s="50"/>
      <c r="K80" s="55" t="str">
        <f t="shared" si="8"/>
        <v>진행 대기</v>
      </c>
      <c r="L80" s="83"/>
      <c r="M80" s="48">
        <f t="shared" si="17"/>
        <v>16</v>
      </c>
      <c r="N80" s="48">
        <f t="shared" si="18"/>
        <v>1</v>
      </c>
      <c r="O80" s="48">
        <f t="shared" si="19"/>
        <v>0</v>
      </c>
      <c r="P80" s="48">
        <f t="shared" si="20"/>
        <v>0</v>
      </c>
      <c r="Q80" s="49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S80" s="76"/>
    </row>
    <row r="81" spans="3:45" s="33" customFormat="1" ht="18.899999999999999" customHeight="1" x14ac:dyDescent="0.35">
      <c r="C81" s="72"/>
      <c r="D81" s="68" t="s">
        <v>157</v>
      </c>
      <c r="E81" s="65"/>
      <c r="F81" s="52">
        <v>42473</v>
      </c>
      <c r="G81" s="52">
        <v>42475</v>
      </c>
      <c r="H81" s="52"/>
      <c r="I81" s="52"/>
      <c r="J81" s="50"/>
      <c r="K81" s="55" t="str">
        <f t="shared" si="8"/>
        <v>진행 대기</v>
      </c>
      <c r="L81" s="83"/>
      <c r="M81" s="48">
        <f t="shared" si="17"/>
        <v>16</v>
      </c>
      <c r="N81" s="48">
        <f t="shared" si="18"/>
        <v>1</v>
      </c>
      <c r="O81" s="48">
        <f t="shared" si="19"/>
        <v>0</v>
      </c>
      <c r="P81" s="48">
        <f t="shared" si="20"/>
        <v>0</v>
      </c>
      <c r="Q81" s="49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S81" s="76"/>
    </row>
    <row r="82" spans="3:45" s="33" customFormat="1" ht="18.899999999999999" customHeight="1" x14ac:dyDescent="0.35">
      <c r="C82" s="72"/>
      <c r="D82" s="68" t="s">
        <v>156</v>
      </c>
      <c r="E82" s="65"/>
      <c r="F82" s="52">
        <v>42478</v>
      </c>
      <c r="G82" s="52">
        <v>42489</v>
      </c>
      <c r="H82" s="52"/>
      <c r="I82" s="52"/>
      <c r="J82" s="50"/>
      <c r="K82" s="55" t="str">
        <f t="shared" si="8"/>
        <v>진행 대기</v>
      </c>
      <c r="L82" s="83"/>
      <c r="M82" s="48">
        <f t="shared" si="17"/>
        <v>17</v>
      </c>
      <c r="N82" s="48">
        <f t="shared" si="18"/>
        <v>2</v>
      </c>
      <c r="O82" s="48">
        <f t="shared" si="19"/>
        <v>0</v>
      </c>
      <c r="P82" s="48">
        <f t="shared" si="20"/>
        <v>0</v>
      </c>
      <c r="Q82" s="49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S82" s="76"/>
    </row>
    <row r="83" spans="3:45" s="33" customFormat="1" ht="18.899999999999999" customHeight="1" x14ac:dyDescent="0.35">
      <c r="C83" s="72"/>
      <c r="D83" s="68" t="s">
        <v>164</v>
      </c>
      <c r="E83" s="65"/>
      <c r="F83" s="52">
        <v>42491</v>
      </c>
      <c r="G83" s="52">
        <v>42505</v>
      </c>
      <c r="H83" s="52"/>
      <c r="I83" s="52"/>
      <c r="J83" s="50"/>
      <c r="K83" s="55" t="str">
        <f t="shared" si="8"/>
        <v>진행 대기</v>
      </c>
      <c r="L83" s="83"/>
      <c r="M83" s="48">
        <f t="shared" si="17"/>
        <v>19</v>
      </c>
      <c r="N83" s="48">
        <f t="shared" si="18"/>
        <v>2</v>
      </c>
      <c r="O83" s="48">
        <f t="shared" si="19"/>
        <v>0</v>
      </c>
      <c r="P83" s="48">
        <f t="shared" si="20"/>
        <v>0</v>
      </c>
      <c r="Q83" s="49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S83" s="76"/>
    </row>
    <row r="84" spans="3:45" s="33" customFormat="1" ht="18.899999999999999" customHeight="1" x14ac:dyDescent="0.35">
      <c r="C84" s="72"/>
      <c r="D84" s="68" t="s">
        <v>135</v>
      </c>
      <c r="E84" s="65"/>
      <c r="F84" s="52">
        <v>42464</v>
      </c>
      <c r="G84" s="52">
        <v>42468</v>
      </c>
      <c r="H84" s="52"/>
      <c r="I84" s="52"/>
      <c r="J84" s="50"/>
      <c r="K84" s="55" t="str">
        <f t="shared" si="8"/>
        <v>진행 대기</v>
      </c>
      <c r="L84" s="83"/>
      <c r="M84" s="48">
        <f t="shared" si="17"/>
        <v>15</v>
      </c>
      <c r="N84" s="48">
        <f t="shared" si="18"/>
        <v>1</v>
      </c>
      <c r="O84" s="48">
        <f t="shared" si="19"/>
        <v>0</v>
      </c>
      <c r="P84" s="48">
        <f t="shared" si="20"/>
        <v>0</v>
      </c>
      <c r="Q84" s="49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S84" s="76"/>
    </row>
    <row r="85" spans="3:45" s="33" customFormat="1" ht="18.899999999999999" customHeight="1" x14ac:dyDescent="0.35">
      <c r="C85" s="72"/>
      <c r="D85" s="68" t="s">
        <v>109</v>
      </c>
      <c r="E85" s="65"/>
      <c r="F85" s="52">
        <v>42478</v>
      </c>
      <c r="G85" s="52">
        <v>42482</v>
      </c>
      <c r="H85" s="52"/>
      <c r="I85" s="52"/>
      <c r="J85" s="50"/>
      <c r="K85" s="55" t="str">
        <f t="shared" si="8"/>
        <v>진행 대기</v>
      </c>
      <c r="L85" s="83"/>
      <c r="M85" s="48">
        <f t="shared" si="17"/>
        <v>17</v>
      </c>
      <c r="N85" s="48">
        <f t="shared" si="18"/>
        <v>1</v>
      </c>
      <c r="O85" s="48">
        <f t="shared" si="19"/>
        <v>0</v>
      </c>
      <c r="P85" s="48">
        <f t="shared" si="20"/>
        <v>0</v>
      </c>
      <c r="Q85" s="49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S85" s="76"/>
    </row>
    <row r="86" spans="3:45" s="33" customFormat="1" ht="18.899999999999999" customHeight="1" x14ac:dyDescent="0.35">
      <c r="C86" s="72"/>
      <c r="D86" s="67" t="s">
        <v>171</v>
      </c>
      <c r="E86" s="47"/>
      <c r="F86" s="52">
        <v>42431</v>
      </c>
      <c r="G86" s="52">
        <v>42489</v>
      </c>
      <c r="H86" s="52"/>
      <c r="I86" s="52"/>
      <c r="J86" s="50"/>
      <c r="K86" s="55" t="str">
        <f t="shared" si="8"/>
        <v>진행 대기</v>
      </c>
      <c r="L86" s="83"/>
      <c r="M86" s="48">
        <f t="shared" ref="M86:M128" si="21">WEEKNUM(F86)</f>
        <v>10</v>
      </c>
      <c r="N86" s="48">
        <f t="shared" ref="N86:N128" si="22">WEEKNUM(G86-F86)</f>
        <v>9</v>
      </c>
      <c r="O86" s="48">
        <f t="shared" ref="O86:O128" si="23">WEEKNUM(H86)</f>
        <v>0</v>
      </c>
      <c r="P86" s="48">
        <f t="shared" ref="P86:P128" si="24">WEEKNUM(I86-H86)</f>
        <v>0</v>
      </c>
      <c r="Q86" s="49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S86" s="76"/>
    </row>
    <row r="87" spans="3:45" s="33" customFormat="1" ht="18.899999999999999" customHeight="1" x14ac:dyDescent="0.35">
      <c r="C87" s="72"/>
      <c r="D87" s="68" t="s">
        <v>172</v>
      </c>
      <c r="E87" s="65"/>
      <c r="F87" s="52">
        <v>42431</v>
      </c>
      <c r="G87" s="52">
        <v>42468</v>
      </c>
      <c r="H87" s="52"/>
      <c r="I87" s="52"/>
      <c r="J87" s="50"/>
      <c r="K87" s="55" t="str">
        <f t="shared" si="8"/>
        <v>진행 대기</v>
      </c>
      <c r="L87" s="83"/>
      <c r="M87" s="48">
        <f t="shared" si="21"/>
        <v>10</v>
      </c>
      <c r="N87" s="48">
        <f t="shared" si="22"/>
        <v>6</v>
      </c>
      <c r="O87" s="48">
        <f t="shared" si="23"/>
        <v>0</v>
      </c>
      <c r="P87" s="48">
        <f t="shared" si="24"/>
        <v>0</v>
      </c>
      <c r="Q87" s="49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S87" s="76"/>
    </row>
    <row r="88" spans="3:45" s="33" customFormat="1" ht="18.899999999999999" customHeight="1" x14ac:dyDescent="0.35">
      <c r="C88" s="72"/>
      <c r="D88" s="69" t="s">
        <v>173</v>
      </c>
      <c r="E88" s="65"/>
      <c r="F88" s="52">
        <v>42436</v>
      </c>
      <c r="G88" s="52">
        <v>42440</v>
      </c>
      <c r="H88" s="52"/>
      <c r="I88" s="52"/>
      <c r="J88" s="50"/>
      <c r="K88" s="55" t="str">
        <f t="shared" si="8"/>
        <v>진행 대기</v>
      </c>
      <c r="L88" s="83"/>
      <c r="M88" s="48">
        <f t="shared" si="21"/>
        <v>11</v>
      </c>
      <c r="N88" s="48">
        <f t="shared" si="22"/>
        <v>1</v>
      </c>
      <c r="O88" s="48">
        <f t="shared" si="23"/>
        <v>0</v>
      </c>
      <c r="P88" s="48">
        <f t="shared" si="24"/>
        <v>0</v>
      </c>
      <c r="Q88" s="49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S88" s="76"/>
    </row>
    <row r="89" spans="3:45" s="33" customFormat="1" ht="18.899999999999999" customHeight="1" x14ac:dyDescent="0.35">
      <c r="C89" s="72"/>
      <c r="D89" s="69" t="s">
        <v>174</v>
      </c>
      <c r="E89" s="65"/>
      <c r="F89" s="52">
        <v>42443</v>
      </c>
      <c r="G89" s="52">
        <v>42447</v>
      </c>
      <c r="H89" s="52"/>
      <c r="I89" s="52"/>
      <c r="J89" s="50"/>
      <c r="K89" s="55" t="str">
        <f t="shared" si="8"/>
        <v>진행 대기</v>
      </c>
      <c r="L89" s="83"/>
      <c r="M89" s="48">
        <f t="shared" si="21"/>
        <v>12</v>
      </c>
      <c r="N89" s="48">
        <f t="shared" si="22"/>
        <v>1</v>
      </c>
      <c r="O89" s="48">
        <f t="shared" si="23"/>
        <v>0</v>
      </c>
      <c r="P89" s="48">
        <f t="shared" si="24"/>
        <v>0</v>
      </c>
      <c r="Q89" s="49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S89" s="76"/>
    </row>
    <row r="90" spans="3:45" s="33" customFormat="1" ht="18.899999999999999" customHeight="1" x14ac:dyDescent="0.35">
      <c r="C90" s="72"/>
      <c r="D90" s="68" t="s">
        <v>175</v>
      </c>
      <c r="E90" s="65"/>
      <c r="F90" s="52">
        <v>42464</v>
      </c>
      <c r="G90" s="52">
        <v>42475</v>
      </c>
      <c r="H90" s="52"/>
      <c r="I90" s="52"/>
      <c r="J90" s="50"/>
      <c r="K90" s="55" t="str">
        <f t="shared" ref="K90:K109" si="25">IF(AND(Q90&gt;0%,Q90&lt;100%),"진행 중",IF(Q90=0%,"진행 대기","완료"))</f>
        <v>진행 대기</v>
      </c>
      <c r="L90" s="83"/>
      <c r="M90" s="48">
        <f t="shared" si="21"/>
        <v>15</v>
      </c>
      <c r="N90" s="48">
        <f t="shared" si="22"/>
        <v>2</v>
      </c>
      <c r="O90" s="48">
        <f t="shared" si="23"/>
        <v>0</v>
      </c>
      <c r="P90" s="48">
        <f t="shared" si="24"/>
        <v>0</v>
      </c>
      <c r="Q90" s="49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S90" s="76"/>
    </row>
    <row r="91" spans="3:45" s="33" customFormat="1" ht="18.899999999999999" customHeight="1" x14ac:dyDescent="0.35">
      <c r="C91" s="72"/>
      <c r="D91" s="68" t="s">
        <v>176</v>
      </c>
      <c r="E91" s="65"/>
      <c r="F91" s="52">
        <v>42471</v>
      </c>
      <c r="G91" s="52">
        <v>42475</v>
      </c>
      <c r="H91" s="52"/>
      <c r="I91" s="52"/>
      <c r="J91" s="50"/>
      <c r="K91" s="55" t="str">
        <f t="shared" si="25"/>
        <v>진행 대기</v>
      </c>
      <c r="L91" s="83"/>
      <c r="M91" s="48">
        <f t="shared" si="21"/>
        <v>16</v>
      </c>
      <c r="N91" s="48">
        <f t="shared" si="22"/>
        <v>1</v>
      </c>
      <c r="O91" s="48">
        <f t="shared" si="23"/>
        <v>0</v>
      </c>
      <c r="P91" s="48">
        <f t="shared" si="24"/>
        <v>0</v>
      </c>
      <c r="Q91" s="49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S91" s="76"/>
    </row>
    <row r="92" spans="3:45" s="33" customFormat="1" ht="18.899999999999999" customHeight="1" x14ac:dyDescent="0.35">
      <c r="C92" s="72"/>
      <c r="D92" s="67" t="s">
        <v>195</v>
      </c>
      <c r="E92" s="47"/>
      <c r="F92" s="52">
        <v>42436</v>
      </c>
      <c r="G92" s="52">
        <v>42489</v>
      </c>
      <c r="H92" s="52"/>
      <c r="I92" s="52"/>
      <c r="J92" s="50"/>
      <c r="K92" s="55" t="str">
        <f t="shared" si="25"/>
        <v>진행 대기</v>
      </c>
      <c r="L92" s="83"/>
      <c r="M92" s="48">
        <f t="shared" si="21"/>
        <v>11</v>
      </c>
      <c r="N92" s="48">
        <f t="shared" si="22"/>
        <v>8</v>
      </c>
      <c r="O92" s="48">
        <f t="shared" si="23"/>
        <v>0</v>
      </c>
      <c r="P92" s="48">
        <f t="shared" si="24"/>
        <v>0</v>
      </c>
      <c r="Q92" s="49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S92" s="76"/>
    </row>
    <row r="93" spans="3:45" s="33" customFormat="1" ht="18.899999999999999" customHeight="1" x14ac:dyDescent="0.35">
      <c r="C93" s="72"/>
      <c r="D93" s="68" t="s">
        <v>194</v>
      </c>
      <c r="E93" s="65"/>
      <c r="F93" s="52">
        <v>42436</v>
      </c>
      <c r="G93" s="52">
        <v>42454</v>
      </c>
      <c r="H93" s="52"/>
      <c r="I93" s="52"/>
      <c r="J93" s="50"/>
      <c r="K93" s="55" t="str">
        <f t="shared" si="25"/>
        <v>진행 대기</v>
      </c>
      <c r="L93" s="83"/>
      <c r="M93" s="48">
        <f t="shared" si="21"/>
        <v>11</v>
      </c>
      <c r="N93" s="48">
        <f t="shared" si="22"/>
        <v>3</v>
      </c>
      <c r="O93" s="48">
        <f t="shared" si="23"/>
        <v>0</v>
      </c>
      <c r="P93" s="48">
        <f t="shared" si="24"/>
        <v>0</v>
      </c>
      <c r="Q93" s="49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S93" s="76"/>
    </row>
    <row r="94" spans="3:45" s="33" customFormat="1" ht="18.899999999999999" customHeight="1" x14ac:dyDescent="0.35">
      <c r="C94" s="72"/>
      <c r="D94" s="68" t="s">
        <v>177</v>
      </c>
      <c r="E94" s="65"/>
      <c r="F94" s="52">
        <v>42450</v>
      </c>
      <c r="G94" s="52">
        <v>42489</v>
      </c>
      <c r="H94" s="52"/>
      <c r="I94" s="52"/>
      <c r="J94" s="50"/>
      <c r="K94" s="55" t="str">
        <f t="shared" si="25"/>
        <v>진행 대기</v>
      </c>
      <c r="L94" s="83"/>
      <c r="M94" s="48">
        <f t="shared" si="21"/>
        <v>13</v>
      </c>
      <c r="N94" s="48">
        <f t="shared" si="22"/>
        <v>6</v>
      </c>
      <c r="O94" s="48">
        <f t="shared" si="23"/>
        <v>0</v>
      </c>
      <c r="P94" s="48">
        <f t="shared" si="24"/>
        <v>0</v>
      </c>
      <c r="Q94" s="49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S94" s="76"/>
    </row>
    <row r="95" spans="3:45" s="33" customFormat="1" ht="18.899999999999999" customHeight="1" x14ac:dyDescent="0.35">
      <c r="C95" s="72"/>
      <c r="D95" s="68" t="s">
        <v>178</v>
      </c>
      <c r="E95" s="65"/>
      <c r="F95" s="52">
        <v>42457</v>
      </c>
      <c r="G95" s="52">
        <v>42482</v>
      </c>
      <c r="H95" s="52"/>
      <c r="I95" s="52"/>
      <c r="J95" s="50"/>
      <c r="K95" s="55" t="str">
        <f t="shared" si="25"/>
        <v>진행 대기</v>
      </c>
      <c r="L95" s="83"/>
      <c r="M95" s="48">
        <f t="shared" si="21"/>
        <v>14</v>
      </c>
      <c r="N95" s="48">
        <f t="shared" si="22"/>
        <v>4</v>
      </c>
      <c r="O95" s="48">
        <f t="shared" si="23"/>
        <v>0</v>
      </c>
      <c r="P95" s="48">
        <f t="shared" si="24"/>
        <v>0</v>
      </c>
      <c r="Q95" s="49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S95" s="76"/>
    </row>
    <row r="96" spans="3:45" s="33" customFormat="1" ht="18.899999999999999" customHeight="1" x14ac:dyDescent="0.35">
      <c r="C96" s="72"/>
      <c r="D96" s="68" t="s">
        <v>111</v>
      </c>
      <c r="E96" s="65"/>
      <c r="F96" s="52">
        <v>42457</v>
      </c>
      <c r="G96" s="52">
        <v>42475</v>
      </c>
      <c r="H96" s="52"/>
      <c r="I96" s="52"/>
      <c r="J96" s="50"/>
      <c r="K96" s="55" t="str">
        <f t="shared" si="25"/>
        <v>진행 대기</v>
      </c>
      <c r="L96" s="83"/>
      <c r="M96" s="48">
        <f t="shared" si="21"/>
        <v>14</v>
      </c>
      <c r="N96" s="48">
        <f t="shared" si="22"/>
        <v>3</v>
      </c>
      <c r="O96" s="48">
        <f t="shared" si="23"/>
        <v>0</v>
      </c>
      <c r="P96" s="48">
        <f t="shared" si="24"/>
        <v>0</v>
      </c>
      <c r="Q96" s="49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S96" s="76"/>
    </row>
    <row r="97" spans="3:45" s="33" customFormat="1" ht="18.899999999999999" customHeight="1" x14ac:dyDescent="0.35">
      <c r="C97" s="72"/>
      <c r="D97" s="67" t="s">
        <v>179</v>
      </c>
      <c r="E97" s="47"/>
      <c r="F97" s="52"/>
      <c r="G97" s="52"/>
      <c r="H97" s="52"/>
      <c r="I97" s="52"/>
      <c r="J97" s="50"/>
      <c r="K97" s="55" t="str">
        <f t="shared" si="25"/>
        <v>진행 대기</v>
      </c>
      <c r="L97" s="83"/>
      <c r="M97" s="48">
        <f t="shared" si="21"/>
        <v>0</v>
      </c>
      <c r="N97" s="48">
        <f t="shared" si="22"/>
        <v>0</v>
      </c>
      <c r="O97" s="48">
        <f t="shared" si="23"/>
        <v>0</v>
      </c>
      <c r="P97" s="48">
        <f t="shared" si="24"/>
        <v>0</v>
      </c>
      <c r="Q97" s="49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S97" s="76"/>
    </row>
    <row r="98" spans="3:45" s="33" customFormat="1" ht="18.899999999999999" customHeight="1" x14ac:dyDescent="0.35">
      <c r="C98" s="72"/>
      <c r="D98" s="66" t="s">
        <v>114</v>
      </c>
      <c r="E98" s="47"/>
      <c r="F98" s="52">
        <v>42485</v>
      </c>
      <c r="G98" s="52">
        <v>42489</v>
      </c>
      <c r="H98" s="52"/>
      <c r="I98" s="52"/>
      <c r="J98" s="50"/>
      <c r="K98" s="55" t="str">
        <f t="shared" si="25"/>
        <v>진행 대기</v>
      </c>
      <c r="L98" s="83"/>
      <c r="M98" s="48">
        <f t="shared" si="21"/>
        <v>18</v>
      </c>
      <c r="N98" s="48">
        <f t="shared" si="22"/>
        <v>1</v>
      </c>
      <c r="O98" s="48">
        <f t="shared" si="23"/>
        <v>0</v>
      </c>
      <c r="P98" s="48">
        <f t="shared" si="24"/>
        <v>0</v>
      </c>
      <c r="Q98" s="49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S98" s="76"/>
    </row>
    <row r="99" spans="3:45" s="33" customFormat="1" ht="18.899999999999999" customHeight="1" x14ac:dyDescent="0.35">
      <c r="C99" s="72"/>
      <c r="D99" s="66" t="s">
        <v>115</v>
      </c>
      <c r="E99" s="47"/>
      <c r="F99" s="52">
        <v>42461</v>
      </c>
      <c r="G99" s="52">
        <v>42503</v>
      </c>
      <c r="H99" s="52"/>
      <c r="I99" s="52"/>
      <c r="J99" s="50"/>
      <c r="K99" s="55" t="str">
        <f t="shared" si="25"/>
        <v>진행 대기</v>
      </c>
      <c r="L99" s="83"/>
      <c r="M99" s="48">
        <f t="shared" si="21"/>
        <v>14</v>
      </c>
      <c r="N99" s="48">
        <f t="shared" si="22"/>
        <v>6</v>
      </c>
      <c r="O99" s="48">
        <f t="shared" si="23"/>
        <v>0</v>
      </c>
      <c r="P99" s="48">
        <f t="shared" si="24"/>
        <v>0</v>
      </c>
      <c r="Q99" s="49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S99" s="76"/>
    </row>
    <row r="100" spans="3:45" s="33" customFormat="1" ht="18.899999999999999" customHeight="1" x14ac:dyDescent="0.35">
      <c r="C100" s="72"/>
      <c r="D100" s="67" t="s">
        <v>116</v>
      </c>
      <c r="E100" s="47"/>
      <c r="F100" s="52">
        <v>42464</v>
      </c>
      <c r="G100" s="52">
        <v>42503</v>
      </c>
      <c r="H100" s="52"/>
      <c r="I100" s="52"/>
      <c r="J100" s="50"/>
      <c r="K100" s="55" t="str">
        <f t="shared" si="25"/>
        <v>진행 대기</v>
      </c>
      <c r="L100" s="83"/>
      <c r="M100" s="48">
        <f t="shared" si="21"/>
        <v>15</v>
      </c>
      <c r="N100" s="48">
        <f t="shared" si="22"/>
        <v>6</v>
      </c>
      <c r="O100" s="48">
        <f t="shared" si="23"/>
        <v>0</v>
      </c>
      <c r="P100" s="48">
        <f t="shared" si="24"/>
        <v>0</v>
      </c>
      <c r="Q100" s="49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S100" s="76"/>
    </row>
    <row r="101" spans="3:45" s="33" customFormat="1" ht="18.899999999999999" customHeight="1" x14ac:dyDescent="0.35">
      <c r="C101" s="72"/>
      <c r="D101" s="68" t="s">
        <v>115</v>
      </c>
      <c r="E101" s="65"/>
      <c r="F101" s="52">
        <v>42464</v>
      </c>
      <c r="G101" s="52">
        <v>42475</v>
      </c>
      <c r="H101" s="52"/>
      <c r="I101" s="52"/>
      <c r="J101" s="50"/>
      <c r="K101" s="55" t="str">
        <f t="shared" si="25"/>
        <v>진행 대기</v>
      </c>
      <c r="L101" s="83"/>
      <c r="M101" s="48">
        <f t="shared" si="21"/>
        <v>15</v>
      </c>
      <c r="N101" s="48">
        <f t="shared" si="22"/>
        <v>2</v>
      </c>
      <c r="O101" s="48">
        <f t="shared" si="23"/>
        <v>0</v>
      </c>
      <c r="P101" s="48">
        <f t="shared" si="24"/>
        <v>0</v>
      </c>
      <c r="Q101" s="49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S101" s="76"/>
    </row>
    <row r="102" spans="3:45" s="33" customFormat="1" ht="18.899999999999999" customHeight="1" x14ac:dyDescent="0.35">
      <c r="C102" s="72"/>
      <c r="D102" s="68" t="s">
        <v>112</v>
      </c>
      <c r="E102" s="65"/>
      <c r="F102" s="52">
        <v>42471</v>
      </c>
      <c r="G102" s="52">
        <v>42475</v>
      </c>
      <c r="H102" s="52"/>
      <c r="I102" s="52"/>
      <c r="J102" s="50"/>
      <c r="K102" s="55" t="str">
        <f t="shared" si="25"/>
        <v>진행 대기</v>
      </c>
      <c r="L102" s="83"/>
      <c r="M102" s="48">
        <f t="shared" si="21"/>
        <v>16</v>
      </c>
      <c r="N102" s="48">
        <f t="shared" si="22"/>
        <v>1</v>
      </c>
      <c r="O102" s="48">
        <f t="shared" si="23"/>
        <v>0</v>
      </c>
      <c r="P102" s="48">
        <f t="shared" si="24"/>
        <v>0</v>
      </c>
      <c r="Q102" s="49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S102" s="76"/>
    </row>
    <row r="103" spans="3:45" s="33" customFormat="1" ht="18.899999999999999" customHeight="1" x14ac:dyDescent="0.35">
      <c r="C103" s="72"/>
      <c r="D103" s="68" t="s">
        <v>113</v>
      </c>
      <c r="E103" s="65"/>
      <c r="F103" s="52">
        <v>42499</v>
      </c>
      <c r="G103" s="52">
        <v>42503</v>
      </c>
      <c r="H103" s="52"/>
      <c r="I103" s="52"/>
      <c r="J103" s="50"/>
      <c r="K103" s="55" t="str">
        <f t="shared" si="25"/>
        <v>진행 대기</v>
      </c>
      <c r="L103" s="83"/>
      <c r="M103" s="48">
        <f t="shared" si="21"/>
        <v>20</v>
      </c>
      <c r="N103" s="48">
        <f t="shared" si="22"/>
        <v>1</v>
      </c>
      <c r="O103" s="48">
        <f t="shared" si="23"/>
        <v>0</v>
      </c>
      <c r="P103" s="48">
        <f t="shared" si="24"/>
        <v>0</v>
      </c>
      <c r="Q103" s="49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S103" s="76"/>
    </row>
    <row r="104" spans="3:45" s="33" customFormat="1" ht="18.899999999999999" customHeight="1" x14ac:dyDescent="0.35">
      <c r="C104" s="72"/>
      <c r="D104" s="67" t="s">
        <v>117</v>
      </c>
      <c r="E104" s="47"/>
      <c r="F104" s="52">
        <v>42461</v>
      </c>
      <c r="G104" s="52">
        <v>42503</v>
      </c>
      <c r="H104" s="52"/>
      <c r="I104" s="52"/>
      <c r="J104" s="50"/>
      <c r="K104" s="55" t="str">
        <f t="shared" si="25"/>
        <v>진행 대기</v>
      </c>
      <c r="L104" s="83"/>
      <c r="M104" s="48">
        <f t="shared" si="21"/>
        <v>14</v>
      </c>
      <c r="N104" s="48">
        <f t="shared" si="22"/>
        <v>6</v>
      </c>
      <c r="O104" s="48">
        <f t="shared" si="23"/>
        <v>0</v>
      </c>
      <c r="P104" s="48">
        <f t="shared" si="24"/>
        <v>0</v>
      </c>
      <c r="Q104" s="49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S104" s="76"/>
    </row>
    <row r="105" spans="3:45" s="33" customFormat="1" ht="18.899999999999999" customHeight="1" x14ac:dyDescent="0.35">
      <c r="C105" s="72"/>
      <c r="D105" s="68" t="s">
        <v>115</v>
      </c>
      <c r="E105" s="65"/>
      <c r="F105" s="52">
        <v>42461</v>
      </c>
      <c r="G105" s="52">
        <v>42468</v>
      </c>
      <c r="H105" s="52"/>
      <c r="I105" s="52"/>
      <c r="J105" s="50"/>
      <c r="K105" s="55" t="str">
        <f t="shared" si="25"/>
        <v>진행 대기</v>
      </c>
      <c r="L105" s="83"/>
      <c r="M105" s="48">
        <f t="shared" si="21"/>
        <v>14</v>
      </c>
      <c r="N105" s="48">
        <f t="shared" si="22"/>
        <v>1</v>
      </c>
      <c r="O105" s="48">
        <f t="shared" si="23"/>
        <v>0</v>
      </c>
      <c r="P105" s="48">
        <f t="shared" si="24"/>
        <v>0</v>
      </c>
      <c r="Q105" s="49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S105" s="76"/>
    </row>
    <row r="106" spans="3:45" s="33" customFormat="1" ht="18.899999999999999" customHeight="1" x14ac:dyDescent="0.35">
      <c r="C106" s="72"/>
      <c r="D106" s="68" t="s">
        <v>112</v>
      </c>
      <c r="E106" s="65"/>
      <c r="F106" s="52">
        <v>42471</v>
      </c>
      <c r="G106" s="52">
        <v>42475</v>
      </c>
      <c r="H106" s="52"/>
      <c r="I106" s="52"/>
      <c r="J106" s="50"/>
      <c r="K106" s="55" t="str">
        <f t="shared" si="25"/>
        <v>진행 대기</v>
      </c>
      <c r="L106" s="83"/>
      <c r="M106" s="48">
        <f t="shared" si="21"/>
        <v>16</v>
      </c>
      <c r="N106" s="48">
        <f t="shared" si="22"/>
        <v>1</v>
      </c>
      <c r="O106" s="48">
        <f t="shared" si="23"/>
        <v>0</v>
      </c>
      <c r="P106" s="48">
        <f t="shared" si="24"/>
        <v>0</v>
      </c>
      <c r="Q106" s="49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S106" s="76"/>
    </row>
    <row r="107" spans="3:45" s="33" customFormat="1" ht="18.899999999999999" customHeight="1" x14ac:dyDescent="0.35">
      <c r="C107" s="72"/>
      <c r="D107" s="68" t="s">
        <v>113</v>
      </c>
      <c r="E107" s="65"/>
      <c r="F107" s="52">
        <v>42478</v>
      </c>
      <c r="G107" s="52">
        <v>42503</v>
      </c>
      <c r="H107" s="52"/>
      <c r="I107" s="52"/>
      <c r="J107" s="50"/>
      <c r="K107" s="55" t="str">
        <f t="shared" si="25"/>
        <v>진행 대기</v>
      </c>
      <c r="L107" s="83"/>
      <c r="M107" s="48">
        <f t="shared" si="21"/>
        <v>17</v>
      </c>
      <c r="N107" s="48">
        <f t="shared" si="22"/>
        <v>4</v>
      </c>
      <c r="O107" s="48">
        <f t="shared" si="23"/>
        <v>0</v>
      </c>
      <c r="P107" s="48">
        <f t="shared" si="24"/>
        <v>0</v>
      </c>
      <c r="Q107" s="49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S107" s="76"/>
    </row>
    <row r="108" spans="3:45" s="33" customFormat="1" ht="18.899999999999999" customHeight="1" x14ac:dyDescent="0.35">
      <c r="C108" s="72"/>
      <c r="D108" s="67" t="s">
        <v>118</v>
      </c>
      <c r="E108" s="47"/>
      <c r="F108" s="52"/>
      <c r="G108" s="52">
        <v>42503</v>
      </c>
      <c r="H108" s="52"/>
      <c r="I108" s="52"/>
      <c r="J108" s="50"/>
      <c r="K108" s="55" t="str">
        <f t="shared" si="25"/>
        <v>진행 대기</v>
      </c>
      <c r="L108" s="83"/>
      <c r="M108" s="48">
        <f t="shared" si="21"/>
        <v>0</v>
      </c>
      <c r="N108" s="48">
        <f t="shared" si="22"/>
        <v>20</v>
      </c>
      <c r="O108" s="48">
        <f t="shared" si="23"/>
        <v>0</v>
      </c>
      <c r="P108" s="48">
        <f t="shared" si="24"/>
        <v>0</v>
      </c>
      <c r="Q108" s="49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S108" s="76"/>
    </row>
    <row r="109" spans="3:45" s="33" customFormat="1" ht="18.899999999999999" customHeight="1" x14ac:dyDescent="0.35">
      <c r="C109" s="72"/>
      <c r="D109" s="68" t="s">
        <v>115</v>
      </c>
      <c r="E109" s="65"/>
      <c r="F109" s="52"/>
      <c r="G109" s="52"/>
      <c r="H109" s="52"/>
      <c r="I109" s="52"/>
      <c r="J109" s="50"/>
      <c r="K109" s="55" t="str">
        <f t="shared" si="25"/>
        <v>진행 대기</v>
      </c>
      <c r="L109" s="83"/>
      <c r="M109" s="48">
        <f t="shared" si="21"/>
        <v>0</v>
      </c>
      <c r="N109" s="48">
        <f t="shared" si="22"/>
        <v>0</v>
      </c>
      <c r="O109" s="48">
        <f t="shared" si="23"/>
        <v>0</v>
      </c>
      <c r="P109" s="48">
        <f t="shared" si="24"/>
        <v>0</v>
      </c>
      <c r="Q109" s="49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S109" s="76"/>
    </row>
    <row r="110" spans="3:45" s="33" customFormat="1" ht="18.899999999999999" customHeight="1" x14ac:dyDescent="0.35">
      <c r="C110" s="72"/>
      <c r="D110" s="68" t="s">
        <v>112</v>
      </c>
      <c r="E110" s="65"/>
      <c r="F110" s="52"/>
      <c r="G110" s="52"/>
      <c r="H110" s="52"/>
      <c r="I110" s="52"/>
      <c r="J110" s="50"/>
      <c r="K110" s="55" t="str">
        <f t="shared" ref="K110:K128" si="26">IF(AND(Q110&gt;0%,Q110&lt;100%),"진행 중",IF(Q110=0%,"진행 대기","완료"))</f>
        <v>진행 대기</v>
      </c>
      <c r="L110" s="83"/>
      <c r="M110" s="48">
        <f t="shared" si="21"/>
        <v>0</v>
      </c>
      <c r="N110" s="48">
        <f t="shared" si="22"/>
        <v>0</v>
      </c>
      <c r="O110" s="48">
        <f t="shared" si="23"/>
        <v>0</v>
      </c>
      <c r="P110" s="48">
        <f t="shared" si="24"/>
        <v>0</v>
      </c>
      <c r="Q110" s="49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S110" s="76"/>
    </row>
    <row r="111" spans="3:45" s="33" customFormat="1" ht="18.899999999999999" customHeight="1" x14ac:dyDescent="0.35">
      <c r="C111" s="72"/>
      <c r="D111" s="68" t="s">
        <v>113</v>
      </c>
      <c r="E111" s="65"/>
      <c r="F111" s="52"/>
      <c r="G111" s="52">
        <v>42503</v>
      </c>
      <c r="H111" s="52"/>
      <c r="I111" s="52"/>
      <c r="J111" s="50"/>
      <c r="K111" s="55" t="str">
        <f t="shared" si="26"/>
        <v>진행 대기</v>
      </c>
      <c r="L111" s="83"/>
      <c r="M111" s="48">
        <f t="shared" si="21"/>
        <v>0</v>
      </c>
      <c r="N111" s="48">
        <f t="shared" si="22"/>
        <v>20</v>
      </c>
      <c r="O111" s="48">
        <f t="shared" si="23"/>
        <v>0</v>
      </c>
      <c r="P111" s="48">
        <f t="shared" si="24"/>
        <v>0</v>
      </c>
      <c r="Q111" s="49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S111" s="76"/>
    </row>
    <row r="112" spans="3:45" s="33" customFormat="1" ht="18.899999999999999" customHeight="1" x14ac:dyDescent="0.35">
      <c r="C112" s="72"/>
      <c r="D112" s="66" t="s">
        <v>144</v>
      </c>
      <c r="E112" s="47"/>
      <c r="F112" s="52">
        <v>42492</v>
      </c>
      <c r="G112" s="52">
        <v>42492</v>
      </c>
      <c r="H112" s="52"/>
      <c r="I112" s="52"/>
      <c r="J112" s="50"/>
      <c r="K112" s="55" t="str">
        <f t="shared" si="26"/>
        <v>진행 대기</v>
      </c>
      <c r="L112" s="83"/>
      <c r="M112" s="48">
        <f t="shared" si="21"/>
        <v>19</v>
      </c>
      <c r="N112" s="48">
        <f t="shared" si="22"/>
        <v>0</v>
      </c>
      <c r="O112" s="48">
        <f t="shared" si="23"/>
        <v>0</v>
      </c>
      <c r="P112" s="48">
        <f t="shared" si="24"/>
        <v>0</v>
      </c>
      <c r="Q112" s="49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S112" s="76"/>
    </row>
    <row r="113" spans="3:45" s="33" customFormat="1" ht="18.899999999999999" customHeight="1" x14ac:dyDescent="0.35">
      <c r="C113" s="72"/>
      <c r="D113" s="66" t="s">
        <v>146</v>
      </c>
      <c r="E113" s="47"/>
      <c r="F113" s="52">
        <v>42493</v>
      </c>
      <c r="G113" s="52">
        <v>42521</v>
      </c>
      <c r="H113" s="52"/>
      <c r="I113" s="52"/>
      <c r="J113" s="50"/>
      <c r="K113" s="55" t="str">
        <f t="shared" si="26"/>
        <v>진행 대기</v>
      </c>
      <c r="L113" s="83"/>
      <c r="M113" s="48">
        <f t="shared" si="21"/>
        <v>19</v>
      </c>
      <c r="N113" s="48">
        <f t="shared" si="22"/>
        <v>4</v>
      </c>
      <c r="O113" s="48">
        <f t="shared" si="23"/>
        <v>0</v>
      </c>
      <c r="P113" s="48">
        <f t="shared" si="24"/>
        <v>0</v>
      </c>
      <c r="Q113" s="49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S113" s="76"/>
    </row>
    <row r="114" spans="3:45" s="33" customFormat="1" ht="18.899999999999999" customHeight="1" x14ac:dyDescent="0.35">
      <c r="C114" s="72"/>
      <c r="D114" s="67" t="s">
        <v>136</v>
      </c>
      <c r="E114" s="47"/>
      <c r="F114" s="52">
        <v>42493</v>
      </c>
      <c r="G114" s="52">
        <v>42500</v>
      </c>
      <c r="H114" s="52"/>
      <c r="I114" s="52"/>
      <c r="J114" s="50"/>
      <c r="K114" s="55" t="str">
        <f t="shared" si="26"/>
        <v>진행 대기</v>
      </c>
      <c r="L114" s="83"/>
      <c r="M114" s="48">
        <f t="shared" si="21"/>
        <v>19</v>
      </c>
      <c r="N114" s="48">
        <f t="shared" si="22"/>
        <v>1</v>
      </c>
      <c r="O114" s="48">
        <f t="shared" si="23"/>
        <v>0</v>
      </c>
      <c r="P114" s="48">
        <f t="shared" si="24"/>
        <v>0</v>
      </c>
      <c r="Q114" s="49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S114" s="76"/>
    </row>
    <row r="115" spans="3:45" s="33" customFormat="1" ht="18.899999999999999" customHeight="1" x14ac:dyDescent="0.35">
      <c r="C115" s="72"/>
      <c r="D115" s="67" t="s">
        <v>137</v>
      </c>
      <c r="E115" s="47"/>
      <c r="F115" s="52">
        <v>42496</v>
      </c>
      <c r="G115" s="52">
        <v>42500</v>
      </c>
      <c r="H115" s="52"/>
      <c r="I115" s="52"/>
      <c r="J115" s="50"/>
      <c r="K115" s="55" t="str">
        <f t="shared" si="26"/>
        <v>진행 대기</v>
      </c>
      <c r="L115" s="83"/>
      <c r="M115" s="48">
        <f t="shared" si="21"/>
        <v>19</v>
      </c>
      <c r="N115" s="48">
        <f t="shared" si="22"/>
        <v>1</v>
      </c>
      <c r="O115" s="48">
        <f t="shared" si="23"/>
        <v>0</v>
      </c>
      <c r="P115" s="48">
        <f t="shared" si="24"/>
        <v>0</v>
      </c>
      <c r="Q115" s="49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S115" s="76"/>
    </row>
    <row r="116" spans="3:45" s="33" customFormat="1" ht="18.899999999999999" customHeight="1" x14ac:dyDescent="0.35">
      <c r="C116" s="72"/>
      <c r="D116" s="67" t="s">
        <v>138</v>
      </c>
      <c r="E116" s="47"/>
      <c r="F116" s="52">
        <v>42500</v>
      </c>
      <c r="G116" s="52">
        <v>42506</v>
      </c>
      <c r="H116" s="52"/>
      <c r="I116" s="52"/>
      <c r="J116" s="50"/>
      <c r="K116" s="55" t="str">
        <f t="shared" si="26"/>
        <v>진행 대기</v>
      </c>
      <c r="L116" s="83"/>
      <c r="M116" s="48">
        <f t="shared" si="21"/>
        <v>20</v>
      </c>
      <c r="N116" s="48">
        <f t="shared" si="22"/>
        <v>1</v>
      </c>
      <c r="O116" s="48">
        <f t="shared" si="23"/>
        <v>0</v>
      </c>
      <c r="P116" s="48">
        <f t="shared" si="24"/>
        <v>0</v>
      </c>
      <c r="Q116" s="49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S116" s="76"/>
    </row>
    <row r="117" spans="3:45" s="33" customFormat="1" ht="18.899999999999999" customHeight="1" x14ac:dyDescent="0.35">
      <c r="C117" s="72"/>
      <c r="D117" s="67" t="s">
        <v>139</v>
      </c>
      <c r="E117" s="47"/>
      <c r="F117" s="52">
        <v>42506</v>
      </c>
      <c r="G117" s="52">
        <v>42520</v>
      </c>
      <c r="H117" s="52"/>
      <c r="I117" s="52"/>
      <c r="J117" s="50"/>
      <c r="K117" s="55" t="str">
        <f t="shared" si="26"/>
        <v>진행 대기</v>
      </c>
      <c r="L117" s="83"/>
      <c r="M117" s="48">
        <f t="shared" si="21"/>
        <v>21</v>
      </c>
      <c r="N117" s="48">
        <f t="shared" si="22"/>
        <v>2</v>
      </c>
      <c r="O117" s="48">
        <f t="shared" si="23"/>
        <v>0</v>
      </c>
      <c r="P117" s="48">
        <f t="shared" si="24"/>
        <v>0</v>
      </c>
      <c r="Q117" s="49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S117" s="76"/>
    </row>
    <row r="118" spans="3:45" s="33" customFormat="1" ht="18.899999999999999" customHeight="1" x14ac:dyDescent="0.35">
      <c r="C118" s="72"/>
      <c r="D118" s="67" t="s">
        <v>140</v>
      </c>
      <c r="E118" s="47"/>
      <c r="F118" s="52">
        <v>42493</v>
      </c>
      <c r="G118" s="52">
        <v>42500</v>
      </c>
      <c r="H118" s="52"/>
      <c r="I118" s="52"/>
      <c r="J118" s="50"/>
      <c r="K118" s="55" t="str">
        <f t="shared" si="26"/>
        <v>진행 대기</v>
      </c>
      <c r="L118" s="83"/>
      <c r="M118" s="48">
        <f t="shared" si="21"/>
        <v>19</v>
      </c>
      <c r="N118" s="48">
        <f t="shared" si="22"/>
        <v>1</v>
      </c>
      <c r="O118" s="48">
        <f t="shared" si="23"/>
        <v>0</v>
      </c>
      <c r="P118" s="48">
        <f t="shared" si="24"/>
        <v>0</v>
      </c>
      <c r="Q118" s="49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S118" s="76"/>
    </row>
    <row r="119" spans="3:45" s="33" customFormat="1" ht="18.899999999999999" customHeight="1" x14ac:dyDescent="0.35">
      <c r="C119" s="72"/>
      <c r="D119" s="67" t="s">
        <v>141</v>
      </c>
      <c r="E119" s="47"/>
      <c r="F119" s="52">
        <v>42470</v>
      </c>
      <c r="G119" s="52">
        <v>42490</v>
      </c>
      <c r="H119" s="52"/>
      <c r="I119" s="52"/>
      <c r="J119" s="50"/>
      <c r="K119" s="55" t="str">
        <f t="shared" si="26"/>
        <v>진행 대기</v>
      </c>
      <c r="L119" s="83"/>
      <c r="M119" s="48">
        <f t="shared" si="21"/>
        <v>16</v>
      </c>
      <c r="N119" s="48">
        <f t="shared" si="22"/>
        <v>3</v>
      </c>
      <c r="O119" s="48">
        <f t="shared" si="23"/>
        <v>0</v>
      </c>
      <c r="P119" s="48">
        <f t="shared" si="24"/>
        <v>0</v>
      </c>
      <c r="Q119" s="49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S119" s="76"/>
    </row>
    <row r="120" spans="3:45" s="33" customFormat="1" ht="18.899999999999999" customHeight="1" x14ac:dyDescent="0.35">
      <c r="C120" s="72"/>
      <c r="D120" s="67" t="s">
        <v>142</v>
      </c>
      <c r="E120" s="47"/>
      <c r="F120" s="52">
        <v>42493</v>
      </c>
      <c r="G120" s="52">
        <v>42521</v>
      </c>
      <c r="H120" s="52"/>
      <c r="I120" s="52"/>
      <c r="J120" s="50"/>
      <c r="K120" s="55" t="str">
        <f t="shared" si="26"/>
        <v>진행 대기</v>
      </c>
      <c r="L120" s="83"/>
      <c r="M120" s="48">
        <f t="shared" si="21"/>
        <v>19</v>
      </c>
      <c r="N120" s="48">
        <f t="shared" si="22"/>
        <v>4</v>
      </c>
      <c r="O120" s="48">
        <f t="shared" si="23"/>
        <v>0</v>
      </c>
      <c r="P120" s="48">
        <f t="shared" si="24"/>
        <v>0</v>
      </c>
      <c r="Q120" s="49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S120" s="76"/>
    </row>
    <row r="121" spans="3:45" s="33" customFormat="1" ht="18.899999999999999" customHeight="1" x14ac:dyDescent="0.35">
      <c r="C121" s="72"/>
      <c r="D121" s="68" t="s">
        <v>147</v>
      </c>
      <c r="E121" s="47"/>
      <c r="F121" s="52">
        <v>42493</v>
      </c>
      <c r="G121" s="52">
        <v>42515</v>
      </c>
      <c r="H121" s="52"/>
      <c r="I121" s="52"/>
      <c r="J121" s="50"/>
      <c r="K121" s="55" t="str">
        <f t="shared" si="26"/>
        <v>진행 대기</v>
      </c>
      <c r="L121" s="83"/>
      <c r="M121" s="48">
        <f t="shared" si="21"/>
        <v>19</v>
      </c>
      <c r="N121" s="48">
        <f t="shared" si="22"/>
        <v>4</v>
      </c>
      <c r="O121" s="48">
        <f t="shared" si="23"/>
        <v>0</v>
      </c>
      <c r="P121" s="48">
        <f t="shared" si="24"/>
        <v>0</v>
      </c>
      <c r="Q121" s="49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S121" s="76"/>
    </row>
    <row r="122" spans="3:45" s="33" customFormat="1" ht="18.899999999999999" customHeight="1" x14ac:dyDescent="0.35">
      <c r="C122" s="72"/>
      <c r="D122" s="68" t="s">
        <v>148</v>
      </c>
      <c r="E122" s="47"/>
      <c r="F122" s="52">
        <v>42515</v>
      </c>
      <c r="G122" s="52">
        <v>42521</v>
      </c>
      <c r="H122" s="52"/>
      <c r="I122" s="52"/>
      <c r="J122" s="50"/>
      <c r="K122" s="55" t="str">
        <f t="shared" si="26"/>
        <v>진행 대기</v>
      </c>
      <c r="L122" s="83"/>
      <c r="M122" s="48">
        <f t="shared" si="21"/>
        <v>22</v>
      </c>
      <c r="N122" s="48">
        <f t="shared" si="22"/>
        <v>1</v>
      </c>
      <c r="O122" s="48">
        <f t="shared" si="23"/>
        <v>0</v>
      </c>
      <c r="P122" s="48">
        <f t="shared" si="24"/>
        <v>0</v>
      </c>
      <c r="Q122" s="49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S122" s="76"/>
    </row>
    <row r="123" spans="3:45" s="33" customFormat="1" ht="18.899999999999999" customHeight="1" x14ac:dyDescent="0.35">
      <c r="C123" s="72"/>
      <c r="D123" s="66" t="s">
        <v>143</v>
      </c>
      <c r="E123" s="47"/>
      <c r="F123" s="52">
        <v>42522</v>
      </c>
      <c r="G123" s="52">
        <v>42522</v>
      </c>
      <c r="H123" s="52"/>
      <c r="I123" s="52"/>
      <c r="J123" s="50"/>
      <c r="K123" s="55" t="str">
        <f t="shared" si="26"/>
        <v>진행 대기</v>
      </c>
      <c r="L123" s="83"/>
      <c r="M123" s="48">
        <f t="shared" si="21"/>
        <v>23</v>
      </c>
      <c r="N123" s="48">
        <f t="shared" si="22"/>
        <v>0</v>
      </c>
      <c r="O123" s="48">
        <f t="shared" si="23"/>
        <v>0</v>
      </c>
      <c r="P123" s="48">
        <f t="shared" si="24"/>
        <v>0</v>
      </c>
      <c r="Q123" s="49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S123" s="76"/>
    </row>
    <row r="124" spans="3:45" s="33" customFormat="1" ht="18.899999999999999" customHeight="1" x14ac:dyDescent="0.35">
      <c r="C124" s="72"/>
      <c r="D124" s="66" t="s">
        <v>149</v>
      </c>
      <c r="E124" s="47"/>
      <c r="F124" s="52">
        <v>42522</v>
      </c>
      <c r="G124" s="52">
        <v>42594</v>
      </c>
      <c r="H124" s="52"/>
      <c r="I124" s="52"/>
      <c r="J124" s="50"/>
      <c r="K124" s="55" t="str">
        <f t="shared" si="26"/>
        <v>진행 대기</v>
      </c>
      <c r="L124" s="83"/>
      <c r="M124" s="48">
        <f t="shared" si="21"/>
        <v>23</v>
      </c>
      <c r="N124" s="48">
        <f t="shared" si="22"/>
        <v>11</v>
      </c>
      <c r="O124" s="48">
        <f t="shared" si="23"/>
        <v>0</v>
      </c>
      <c r="P124" s="48">
        <f t="shared" si="24"/>
        <v>0</v>
      </c>
      <c r="Q124" s="49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S124" s="76"/>
    </row>
    <row r="125" spans="3:45" s="33" customFormat="1" ht="18.899999999999999" customHeight="1" x14ac:dyDescent="0.35">
      <c r="C125" s="72"/>
      <c r="D125" s="66" t="s">
        <v>154</v>
      </c>
      <c r="E125" s="47"/>
      <c r="F125" s="52">
        <v>42522</v>
      </c>
      <c r="G125" s="52">
        <v>42551</v>
      </c>
      <c r="H125" s="52"/>
      <c r="I125" s="52"/>
      <c r="J125" s="50"/>
      <c r="K125" s="55" t="str">
        <f t="shared" si="26"/>
        <v>진행 대기</v>
      </c>
      <c r="L125" s="83"/>
      <c r="M125" s="48">
        <f t="shared" si="21"/>
        <v>23</v>
      </c>
      <c r="N125" s="48">
        <f t="shared" si="22"/>
        <v>5</v>
      </c>
      <c r="O125" s="48">
        <f t="shared" si="23"/>
        <v>0</v>
      </c>
      <c r="P125" s="48">
        <f t="shared" si="24"/>
        <v>0</v>
      </c>
      <c r="Q125" s="49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S125" s="76"/>
    </row>
    <row r="126" spans="3:45" s="33" customFormat="1" ht="18.899999999999999" customHeight="1" x14ac:dyDescent="0.35">
      <c r="C126" s="72"/>
      <c r="D126" s="66" t="s">
        <v>155</v>
      </c>
      <c r="E126" s="47"/>
      <c r="F126" s="52">
        <v>42493</v>
      </c>
      <c r="G126" s="52">
        <v>42551</v>
      </c>
      <c r="H126" s="52"/>
      <c r="I126" s="52"/>
      <c r="J126" s="50"/>
      <c r="K126" s="55" t="str">
        <f t="shared" si="26"/>
        <v>진행 대기</v>
      </c>
      <c r="L126" s="83"/>
      <c r="M126" s="48">
        <f t="shared" si="21"/>
        <v>19</v>
      </c>
      <c r="N126" s="48">
        <f t="shared" si="22"/>
        <v>9</v>
      </c>
      <c r="O126" s="48">
        <f t="shared" si="23"/>
        <v>0</v>
      </c>
      <c r="P126" s="48">
        <f t="shared" si="24"/>
        <v>0</v>
      </c>
      <c r="Q126" s="49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S126" s="76"/>
    </row>
    <row r="127" spans="3:45" s="33" customFormat="1" ht="18.899999999999999" customHeight="1" x14ac:dyDescent="0.35">
      <c r="C127" s="72"/>
      <c r="D127" s="66" t="s">
        <v>145</v>
      </c>
      <c r="E127" s="47"/>
      <c r="F127" s="52">
        <v>42590</v>
      </c>
      <c r="G127" s="52">
        <v>42594</v>
      </c>
      <c r="H127" s="52"/>
      <c r="I127" s="52"/>
      <c r="J127" s="50"/>
      <c r="K127" s="55" t="str">
        <f t="shared" si="26"/>
        <v>진행 대기</v>
      </c>
      <c r="L127" s="83"/>
      <c r="M127" s="48">
        <f t="shared" si="21"/>
        <v>33</v>
      </c>
      <c r="N127" s="48">
        <f t="shared" si="22"/>
        <v>1</v>
      </c>
      <c r="O127" s="48">
        <f t="shared" si="23"/>
        <v>0</v>
      </c>
      <c r="P127" s="48">
        <f t="shared" si="24"/>
        <v>0</v>
      </c>
      <c r="Q127" s="49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S127" s="76"/>
    </row>
    <row r="128" spans="3:45" s="33" customFormat="1" ht="18.899999999999999" customHeight="1" x14ac:dyDescent="0.35">
      <c r="C128" s="72"/>
      <c r="D128" s="66" t="s">
        <v>152</v>
      </c>
      <c r="E128" s="47"/>
      <c r="F128" s="52">
        <v>42551</v>
      </c>
      <c r="G128" s="52">
        <v>42551</v>
      </c>
      <c r="H128" s="52"/>
      <c r="I128" s="52"/>
      <c r="J128" s="50"/>
      <c r="K128" s="55" t="str">
        <f t="shared" si="26"/>
        <v>진행 대기</v>
      </c>
      <c r="L128" s="83"/>
      <c r="M128" s="48">
        <f t="shared" si="21"/>
        <v>27</v>
      </c>
      <c r="N128" s="48">
        <f t="shared" si="22"/>
        <v>0</v>
      </c>
      <c r="O128" s="48">
        <f t="shared" si="23"/>
        <v>0</v>
      </c>
      <c r="P128" s="48">
        <f t="shared" si="24"/>
        <v>0</v>
      </c>
      <c r="Q128" s="49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S128" s="76"/>
    </row>
    <row r="129" spans="45:45" x14ac:dyDescent="0.45">
      <c r="AS129" s="74"/>
    </row>
  </sheetData>
  <autoFilter ref="C6:Q128" xr:uid="{00000000-0009-0000-0000-000002000000}"/>
  <mergeCells count="14">
    <mergeCell ref="C6:C8"/>
    <mergeCell ref="D6:D8"/>
    <mergeCell ref="E6:E8"/>
    <mergeCell ref="C2:Q4"/>
    <mergeCell ref="U4:Y4"/>
    <mergeCell ref="S4:T4"/>
    <mergeCell ref="J6:J8"/>
    <mergeCell ref="Q6:Q8"/>
    <mergeCell ref="F6:F8"/>
    <mergeCell ref="G6:G8"/>
    <mergeCell ref="H6:H8"/>
    <mergeCell ref="L6:L8"/>
    <mergeCell ref="I6:I8"/>
    <mergeCell ref="K6:K8"/>
  </mergeCells>
  <phoneticPr fontId="2" type="noConversion"/>
  <conditionalFormatting sqref="S9:BZ31 S37:BZ90 S92:BZ117 S124:BZ128">
    <cfRule type="expression" dxfId="38" priority="116">
      <formula>PercentComplete</formula>
    </cfRule>
    <cfRule type="expression" dxfId="37" priority="117">
      <formula>PercentCompleteBeyond</formula>
    </cfRule>
    <cfRule type="expression" dxfId="36" priority="118">
      <formula>Actual</formula>
    </cfRule>
    <cfRule type="expression" dxfId="35" priority="119">
      <formula>ActualBeyond</formula>
    </cfRule>
    <cfRule type="expression" dxfId="34" priority="120">
      <formula>Plan</formula>
    </cfRule>
    <cfRule type="expression" dxfId="33" priority="121">
      <formula>S$8=period_selected</formula>
    </cfRule>
    <cfRule type="expression" dxfId="32" priority="123">
      <formula>MOD(COLUMN(),2)</formula>
    </cfRule>
    <cfRule type="expression" dxfId="31" priority="124">
      <formula>MOD(COLUMN(),2)=0</formula>
    </cfRule>
  </conditionalFormatting>
  <conditionalFormatting sqref="S8:BZ8">
    <cfRule type="expression" dxfId="30" priority="122">
      <formula>S$8=period_selected</formula>
    </cfRule>
  </conditionalFormatting>
  <conditionalFormatting sqref="S32:BZ36">
    <cfRule type="expression" dxfId="29" priority="106">
      <formula>PercentComplete</formula>
    </cfRule>
    <cfRule type="expression" dxfId="28" priority="107">
      <formula>PercentCompleteBeyond</formula>
    </cfRule>
    <cfRule type="expression" dxfId="27" priority="108">
      <formula>Actual</formula>
    </cfRule>
    <cfRule type="expression" dxfId="26" priority="109">
      <formula>ActualBeyond</formula>
    </cfRule>
    <cfRule type="expression" dxfId="25" priority="110">
      <formula>Plan</formula>
    </cfRule>
    <cfRule type="expression" dxfId="24" priority="111">
      <formula>S$8=period_selected</formula>
    </cfRule>
    <cfRule type="expression" dxfId="23" priority="112">
      <formula>MOD(COLUMN(),2)</formula>
    </cfRule>
    <cfRule type="expression" dxfId="22" priority="113">
      <formula>MOD(COLUMN(),2)=0</formula>
    </cfRule>
  </conditionalFormatting>
  <conditionalFormatting sqref="J9:J90 J92:J117 J124:J128">
    <cfRule type="containsText" dxfId="21" priority="100" operator="containsText" text="지연">
      <formula>NOT(ISERROR(SEARCH("지연",J9)))</formula>
    </cfRule>
  </conditionalFormatting>
  <conditionalFormatting sqref="K9:K128">
    <cfRule type="containsText" dxfId="20" priority="97" operator="containsText" text="진행 중">
      <formula>NOT(ISERROR(SEARCH("진행 중",K9)))</formula>
    </cfRule>
    <cfRule type="containsText" dxfId="19" priority="98" operator="containsText" text="진행 대기">
      <formula>NOT(ISERROR(SEARCH("진행 대기",K9)))</formula>
    </cfRule>
    <cfRule type="containsText" dxfId="18" priority="99" operator="containsText" text="완료">
      <formula>NOT(ISERROR(SEARCH("완료",K9)))</formula>
    </cfRule>
  </conditionalFormatting>
  <conditionalFormatting sqref="S91:BZ91">
    <cfRule type="expression" dxfId="17" priority="41">
      <formula>PercentComplete</formula>
    </cfRule>
    <cfRule type="expression" dxfId="16" priority="42">
      <formula>PercentCompleteBeyond</formula>
    </cfRule>
    <cfRule type="expression" dxfId="15" priority="43">
      <formula>Actual</formula>
    </cfRule>
    <cfRule type="expression" dxfId="14" priority="44">
      <formula>ActualBeyond</formula>
    </cfRule>
    <cfRule type="expression" dxfId="13" priority="45">
      <formula>Plan</formula>
    </cfRule>
    <cfRule type="expression" dxfId="12" priority="46">
      <formula>S$8=period_selected</formula>
    </cfRule>
    <cfRule type="expression" dxfId="11" priority="47">
      <formula>MOD(COLUMN(),2)</formula>
    </cfRule>
    <cfRule type="expression" dxfId="10" priority="48">
      <formula>MOD(COLUMN(),2)=0</formula>
    </cfRule>
  </conditionalFormatting>
  <conditionalFormatting sqref="J91">
    <cfRule type="containsText" dxfId="9" priority="40" operator="containsText" text="지연">
      <formula>NOT(ISERROR(SEARCH("지연",J91)))</formula>
    </cfRule>
  </conditionalFormatting>
  <conditionalFormatting sqref="S118:BZ123">
    <cfRule type="expression" dxfId="8" priority="17">
      <formula>PercentComplete</formula>
    </cfRule>
    <cfRule type="expression" dxfId="7" priority="18">
      <formula>PercentCompleteBeyond</formula>
    </cfRule>
    <cfRule type="expression" dxfId="6" priority="19">
      <formula>Actual</formula>
    </cfRule>
    <cfRule type="expression" dxfId="5" priority="20">
      <formula>ActualBeyond</formula>
    </cfRule>
    <cfRule type="expression" dxfId="4" priority="21">
      <formula>Plan</formula>
    </cfRule>
    <cfRule type="expression" dxfId="3" priority="22">
      <formula>S$8=period_selected</formula>
    </cfRule>
    <cfRule type="expression" dxfId="2" priority="23">
      <formula>MOD(COLUMN(),2)</formula>
    </cfRule>
    <cfRule type="expression" dxfId="1" priority="24">
      <formula>MOD(COLUMN(),2)=0</formula>
    </cfRule>
  </conditionalFormatting>
  <conditionalFormatting sqref="J118:J123">
    <cfRule type="containsText" dxfId="0" priority="16" operator="containsText" text="지연">
      <formula>NOT(ISERROR(SEARCH("지연",J118)))</formula>
    </cfRule>
  </conditionalFormatting>
  <dataValidations count="3">
    <dataValidation type="list" allowBlank="1" sqref="Q9:Q128" xr:uid="{00000000-0002-0000-0200-000000000000}">
      <formula1>"0%,10%,20%,25%,30%,35%,40%,45%,50%,55%,60%,65%,70%,75%,80%,85%,90%,95%,100%"</formula1>
    </dataValidation>
    <dataValidation type="list" allowBlank="1" showInputMessage="1" showErrorMessage="1" sqref="E9:E128" xr:uid="{00000000-0002-0000-0200-000001000000}">
      <formula1>TeamName</formula1>
    </dataValidation>
    <dataValidation type="list" allowBlank="1" showInputMessage="1" showErrorMessage="1" sqref="J9:J128" xr:uid="{00000000-0002-0000-0200-000002000000}">
      <formula1>"정상, 지연, 일정변경"</formula1>
    </dataValidation>
  </dataValidations>
  <pageMargins left="0.45" right="0.45" top="0.5" bottom="0.5" header="0.3" footer="0.3"/>
  <pageSetup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회전자 5">
              <controlPr defaultSize="0" print="0" autoPict="0" altText="기간 강조 표시 회전자 컨트롤">
                <anchor moveWithCells="1">
                  <from>
                    <xdr:col>24</xdr:col>
                    <xdr:colOff>68580</xdr:colOff>
                    <xdr:row>2</xdr:row>
                    <xdr:rowOff>30480</xdr:rowOff>
                  </from>
                  <to>
                    <xdr:col>25</xdr:col>
                    <xdr:colOff>0</xdr:colOff>
                    <xdr:row>2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X48"/>
  <sheetViews>
    <sheetView topLeftCell="A16" workbookViewId="0">
      <selection activeCell="BA16" sqref="BA16"/>
    </sheetView>
  </sheetViews>
  <sheetFormatPr defaultRowHeight="17.399999999999999" x14ac:dyDescent="0.4"/>
  <cols>
    <col min="1" max="1" width="9.19921875" customWidth="1"/>
    <col min="2" max="2" width="30.8984375" customWidth="1"/>
    <col min="3" max="3" width="12.19921875" customWidth="1"/>
    <col min="5" max="5" width="12.09765625" bestFit="1" customWidth="1"/>
    <col min="6" max="6" width="25.69921875" customWidth="1"/>
    <col min="7" max="7" width="22.09765625" customWidth="1"/>
    <col min="8" max="8" width="22.5" customWidth="1"/>
    <col min="13" max="16" width="0" hidden="1" customWidth="1"/>
  </cols>
  <sheetData>
    <row r="1" spans="1:24" ht="21" x14ac:dyDescent="0.4">
      <c r="A1" s="97" t="s">
        <v>74</v>
      </c>
      <c r="B1" s="98"/>
      <c r="C1" s="98"/>
      <c r="D1" s="98"/>
      <c r="E1" s="98"/>
      <c r="F1" s="98"/>
      <c r="G1" s="98"/>
      <c r="H1" s="99"/>
    </row>
    <row r="2" spans="1:24" x14ac:dyDescent="0.4">
      <c r="A2" s="60" t="s">
        <v>80</v>
      </c>
      <c r="B2" s="60" t="s">
        <v>70</v>
      </c>
      <c r="C2" s="60" t="s">
        <v>68</v>
      </c>
      <c r="D2" s="60" t="s">
        <v>71</v>
      </c>
      <c r="E2" s="60" t="s">
        <v>45</v>
      </c>
      <c r="F2" s="60" t="s">
        <v>69</v>
      </c>
      <c r="G2" s="60" t="s">
        <v>72</v>
      </c>
      <c r="H2" s="60" t="s">
        <v>73</v>
      </c>
    </row>
    <row r="3" spans="1:24" x14ac:dyDescent="0.4">
      <c r="A3" s="21" t="s">
        <v>81</v>
      </c>
      <c r="B3" s="77"/>
      <c r="C3" s="21"/>
      <c r="D3" s="21"/>
      <c r="E3" s="21"/>
      <c r="F3" s="21"/>
      <c r="G3" s="21"/>
      <c r="H3" s="21"/>
      <c r="X3">
        <v>41</v>
      </c>
    </row>
    <row r="4" spans="1:24" x14ac:dyDescent="0.4">
      <c r="A4" s="21"/>
      <c r="B4" s="77"/>
      <c r="C4" s="21"/>
      <c r="D4" s="21"/>
      <c r="E4" s="21"/>
      <c r="F4" s="21"/>
      <c r="G4" s="21"/>
      <c r="H4" s="21"/>
    </row>
    <row r="5" spans="1:24" x14ac:dyDescent="0.4">
      <c r="A5" s="21"/>
      <c r="B5" s="77"/>
      <c r="C5" s="21"/>
      <c r="D5" s="21"/>
      <c r="E5" s="21"/>
      <c r="F5" s="21"/>
      <c r="G5" s="21"/>
      <c r="H5" s="21"/>
    </row>
    <row r="6" spans="1:24" x14ac:dyDescent="0.4">
      <c r="A6" s="21"/>
      <c r="B6" s="77"/>
      <c r="C6" s="21"/>
      <c r="D6" s="21"/>
      <c r="E6" s="21"/>
      <c r="F6" s="21"/>
      <c r="G6" s="21"/>
      <c r="H6" s="21"/>
    </row>
    <row r="7" spans="1:24" x14ac:dyDescent="0.4">
      <c r="A7" s="21"/>
      <c r="B7" s="77"/>
      <c r="C7" s="21"/>
      <c r="D7" s="21"/>
      <c r="E7" s="21"/>
      <c r="F7" s="21"/>
      <c r="G7" s="21"/>
      <c r="H7" s="21"/>
      <c r="S7" t="s">
        <v>196</v>
      </c>
    </row>
    <row r="8" spans="1:24" x14ac:dyDescent="0.4">
      <c r="A8" s="21"/>
      <c r="B8" s="77"/>
      <c r="C8" s="21"/>
      <c r="D8" s="21"/>
      <c r="E8" s="21"/>
      <c r="F8" s="21"/>
      <c r="G8" s="21"/>
      <c r="H8" s="21"/>
    </row>
    <row r="9" spans="1:24" x14ac:dyDescent="0.4">
      <c r="A9" s="21"/>
      <c r="B9" s="77"/>
      <c r="C9" s="21"/>
      <c r="D9" s="21"/>
      <c r="E9" s="21"/>
      <c r="F9" s="21"/>
      <c r="G9" s="21"/>
      <c r="H9" s="21"/>
    </row>
    <row r="10" spans="1:24" x14ac:dyDescent="0.4">
      <c r="A10" s="21"/>
      <c r="B10" s="77"/>
      <c r="C10" s="21"/>
      <c r="D10" s="21"/>
      <c r="E10" s="21"/>
      <c r="F10" s="21"/>
      <c r="G10" s="21"/>
      <c r="H10" s="21"/>
    </row>
    <row r="11" spans="1:24" x14ac:dyDescent="0.4">
      <c r="A11" s="21"/>
      <c r="B11" s="77"/>
      <c r="C11" s="21"/>
      <c r="D11" s="21"/>
      <c r="E11" s="21"/>
      <c r="F11" s="21"/>
      <c r="G11" s="21"/>
      <c r="H11" s="21"/>
    </row>
    <row r="12" spans="1:24" x14ac:dyDescent="0.4">
      <c r="A12" s="21"/>
      <c r="B12" s="77"/>
      <c r="C12" s="21"/>
      <c r="D12" s="21"/>
      <c r="E12" s="21"/>
      <c r="F12" s="21"/>
      <c r="G12" s="21"/>
      <c r="H12" s="21"/>
    </row>
    <row r="13" spans="1:24" x14ac:dyDescent="0.4">
      <c r="A13" s="21"/>
      <c r="B13" s="77"/>
      <c r="C13" s="21"/>
      <c r="D13" s="21"/>
      <c r="E13" s="21"/>
      <c r="F13" s="21"/>
      <c r="G13" s="21"/>
      <c r="H13" s="21"/>
    </row>
    <row r="14" spans="1:24" x14ac:dyDescent="0.4">
      <c r="A14" s="21"/>
      <c r="B14" s="77"/>
      <c r="C14" s="21"/>
      <c r="D14" s="21"/>
      <c r="E14" s="21"/>
      <c r="F14" s="21"/>
      <c r="G14" s="21"/>
      <c r="H14" s="21"/>
    </row>
    <row r="15" spans="1:24" x14ac:dyDescent="0.4">
      <c r="A15" s="21"/>
      <c r="B15" s="77"/>
      <c r="C15" s="21"/>
      <c r="D15" s="21"/>
      <c r="E15" s="21"/>
      <c r="F15" s="21"/>
      <c r="G15" s="21"/>
      <c r="H15" s="21"/>
    </row>
    <row r="16" spans="1:24" x14ac:dyDescent="0.4">
      <c r="A16" s="21"/>
      <c r="B16" s="77"/>
      <c r="C16" s="21"/>
      <c r="D16" s="21"/>
      <c r="E16" s="21"/>
      <c r="F16" s="21"/>
      <c r="G16" s="21"/>
      <c r="H16" s="21"/>
    </row>
    <row r="17" spans="1:8" x14ac:dyDescent="0.4">
      <c r="A17" s="21"/>
      <c r="B17" s="77"/>
      <c r="C17" s="21"/>
      <c r="D17" s="21"/>
      <c r="E17" s="21"/>
      <c r="F17" s="21"/>
      <c r="G17" s="21"/>
      <c r="H17" s="21"/>
    </row>
    <row r="18" spans="1:8" x14ac:dyDescent="0.4">
      <c r="A18" s="21"/>
      <c r="B18" s="77"/>
      <c r="C18" s="21"/>
      <c r="D18" s="21"/>
      <c r="E18" s="21"/>
      <c r="F18" s="21"/>
      <c r="G18" s="21"/>
      <c r="H18" s="21"/>
    </row>
    <row r="19" spans="1:8" x14ac:dyDescent="0.4">
      <c r="A19" s="21"/>
      <c r="B19" s="77"/>
      <c r="C19" s="21"/>
      <c r="D19" s="21"/>
      <c r="E19" s="21"/>
      <c r="F19" s="21"/>
      <c r="G19" s="21"/>
      <c r="H19" s="21"/>
    </row>
    <row r="20" spans="1:8" x14ac:dyDescent="0.4">
      <c r="A20" s="21"/>
      <c r="B20" s="77"/>
      <c r="C20" s="21"/>
      <c r="D20" s="21"/>
      <c r="E20" s="21"/>
      <c r="F20" s="21"/>
      <c r="G20" s="21"/>
      <c r="H20" s="21"/>
    </row>
    <row r="21" spans="1:8" x14ac:dyDescent="0.4">
      <c r="A21" s="21"/>
      <c r="B21" s="77"/>
      <c r="C21" s="21"/>
      <c r="D21" s="21"/>
      <c r="E21" s="21"/>
      <c r="F21" s="21"/>
      <c r="G21" s="21"/>
      <c r="H21" s="21"/>
    </row>
    <row r="22" spans="1:8" x14ac:dyDescent="0.4">
      <c r="A22" s="21"/>
      <c r="B22" s="77"/>
      <c r="C22" s="21"/>
      <c r="D22" s="21"/>
      <c r="E22" s="21"/>
      <c r="F22" s="21"/>
      <c r="G22" s="21"/>
      <c r="H22" s="21"/>
    </row>
    <row r="23" spans="1:8" x14ac:dyDescent="0.4">
      <c r="A23" s="21"/>
      <c r="B23" s="77"/>
      <c r="C23" s="21"/>
      <c r="D23" s="21"/>
      <c r="E23" s="21"/>
      <c r="F23" s="21"/>
      <c r="G23" s="21"/>
      <c r="H23" s="21"/>
    </row>
    <row r="24" spans="1:8" x14ac:dyDescent="0.4">
      <c r="A24" s="21"/>
      <c r="B24" s="77"/>
      <c r="C24" s="21"/>
      <c r="D24" s="21"/>
      <c r="E24" s="21"/>
      <c r="F24" s="21"/>
      <c r="G24" s="21"/>
      <c r="H24" s="21"/>
    </row>
    <row r="25" spans="1:8" x14ac:dyDescent="0.4">
      <c r="A25" s="21"/>
      <c r="B25" s="77"/>
      <c r="C25" s="21"/>
      <c r="D25" s="21"/>
      <c r="E25" s="21"/>
      <c r="F25" s="21"/>
      <c r="G25" s="21"/>
      <c r="H25" s="21"/>
    </row>
    <row r="26" spans="1:8" x14ac:dyDescent="0.4">
      <c r="A26" s="21"/>
      <c r="B26" s="77"/>
      <c r="C26" s="21"/>
      <c r="D26" s="21"/>
      <c r="E26" s="21"/>
      <c r="F26" s="21"/>
      <c r="G26" s="21"/>
      <c r="H26" s="21"/>
    </row>
    <row r="27" spans="1:8" x14ac:dyDescent="0.4">
      <c r="A27" s="21"/>
      <c r="B27" s="77"/>
      <c r="C27" s="21"/>
      <c r="D27" s="21"/>
      <c r="E27" s="21"/>
      <c r="F27" s="21"/>
      <c r="G27" s="21"/>
      <c r="H27" s="21"/>
    </row>
    <row r="30" spans="1:8" ht="21" x14ac:dyDescent="0.4">
      <c r="A30" s="97" t="s">
        <v>75</v>
      </c>
      <c r="B30" s="98"/>
      <c r="C30" s="98"/>
      <c r="D30" s="98"/>
      <c r="E30" s="98"/>
      <c r="F30" s="98"/>
      <c r="G30" s="98"/>
      <c r="H30" s="99"/>
    </row>
    <row r="31" spans="1:8" x14ac:dyDescent="0.4">
      <c r="A31" s="60" t="s">
        <v>67</v>
      </c>
      <c r="B31" s="60" t="s">
        <v>70</v>
      </c>
      <c r="C31" s="60" t="s">
        <v>78</v>
      </c>
      <c r="D31" s="60" t="s">
        <v>77</v>
      </c>
      <c r="E31" s="60" t="s">
        <v>45</v>
      </c>
      <c r="F31" s="100" t="s">
        <v>76</v>
      </c>
      <c r="G31" s="101"/>
      <c r="H31" s="60" t="s">
        <v>79</v>
      </c>
    </row>
    <row r="32" spans="1:8" x14ac:dyDescent="0.4">
      <c r="A32" s="21" t="s">
        <v>82</v>
      </c>
      <c r="B32" s="21"/>
      <c r="C32" s="24"/>
      <c r="D32" s="21"/>
      <c r="E32" s="21"/>
      <c r="F32" s="95"/>
      <c r="G32" s="96"/>
      <c r="H32" s="21"/>
    </row>
    <row r="33" spans="1:8" x14ac:dyDescent="0.4">
      <c r="A33" s="21"/>
      <c r="B33" s="21"/>
      <c r="C33" s="21"/>
      <c r="D33" s="21"/>
      <c r="E33" s="21"/>
      <c r="F33" s="95"/>
      <c r="G33" s="96"/>
      <c r="H33" s="21"/>
    </row>
    <row r="34" spans="1:8" x14ac:dyDescent="0.4">
      <c r="A34" s="21"/>
      <c r="B34" s="21"/>
      <c r="C34" s="21"/>
      <c r="D34" s="21"/>
      <c r="E34" s="21"/>
      <c r="F34" s="95"/>
      <c r="G34" s="96"/>
      <c r="H34" s="21"/>
    </row>
    <row r="35" spans="1:8" x14ac:dyDescent="0.4">
      <c r="A35" s="21"/>
      <c r="B35" s="21"/>
      <c r="C35" s="21"/>
      <c r="D35" s="21"/>
      <c r="E35" s="21"/>
      <c r="F35" s="95"/>
      <c r="G35" s="96"/>
      <c r="H35" s="21"/>
    </row>
    <row r="36" spans="1:8" x14ac:dyDescent="0.4">
      <c r="A36" s="21"/>
      <c r="B36" s="21"/>
      <c r="C36" s="21"/>
      <c r="D36" s="21"/>
      <c r="E36" s="21"/>
      <c r="F36" s="95"/>
      <c r="G36" s="96"/>
      <c r="H36" s="21"/>
    </row>
    <row r="37" spans="1:8" x14ac:dyDescent="0.4">
      <c r="A37" s="21"/>
      <c r="B37" s="21"/>
      <c r="C37" s="21"/>
      <c r="D37" s="21"/>
      <c r="E37" s="21"/>
      <c r="F37" s="95"/>
      <c r="G37" s="96"/>
      <c r="H37" s="21"/>
    </row>
    <row r="38" spans="1:8" x14ac:dyDescent="0.4">
      <c r="A38" s="21"/>
      <c r="B38" s="21"/>
      <c r="C38" s="21"/>
      <c r="D38" s="21"/>
      <c r="E38" s="21"/>
      <c r="F38" s="95"/>
      <c r="G38" s="96"/>
      <c r="H38" s="21"/>
    </row>
    <row r="39" spans="1:8" x14ac:dyDescent="0.4">
      <c r="A39" s="21"/>
      <c r="B39" s="21"/>
      <c r="C39" s="21"/>
      <c r="D39" s="21"/>
      <c r="E39" s="21"/>
      <c r="F39" s="95"/>
      <c r="G39" s="96"/>
      <c r="H39" s="21"/>
    </row>
    <row r="40" spans="1:8" x14ac:dyDescent="0.4">
      <c r="A40" s="21"/>
      <c r="B40" s="21"/>
      <c r="C40" s="21"/>
      <c r="D40" s="21"/>
      <c r="E40" s="21"/>
      <c r="F40" s="95"/>
      <c r="G40" s="96"/>
      <c r="H40" s="21"/>
    </row>
    <row r="41" spans="1:8" x14ac:dyDescent="0.4">
      <c r="A41" s="21"/>
      <c r="B41" s="21"/>
      <c r="C41" s="21"/>
      <c r="D41" s="21"/>
      <c r="E41" s="21"/>
      <c r="F41" s="95"/>
      <c r="G41" s="96"/>
      <c r="H41" s="21"/>
    </row>
    <row r="42" spans="1:8" x14ac:dyDescent="0.4">
      <c r="A42" s="21"/>
      <c r="B42" s="21"/>
      <c r="C42" s="21"/>
      <c r="D42" s="21"/>
      <c r="E42" s="21"/>
      <c r="F42" s="95"/>
      <c r="G42" s="96"/>
      <c r="H42" s="21"/>
    </row>
    <row r="43" spans="1:8" x14ac:dyDescent="0.4">
      <c r="A43" s="21"/>
      <c r="B43" s="21"/>
      <c r="C43" s="21"/>
      <c r="D43" s="21"/>
      <c r="E43" s="21"/>
      <c r="F43" s="95"/>
      <c r="G43" s="96"/>
      <c r="H43" s="21"/>
    </row>
    <row r="44" spans="1:8" x14ac:dyDescent="0.4">
      <c r="A44" s="21"/>
      <c r="B44" s="21"/>
      <c r="C44" s="21"/>
      <c r="D44" s="21"/>
      <c r="E44" s="21"/>
      <c r="F44" s="95"/>
      <c r="G44" s="96"/>
      <c r="H44" s="21"/>
    </row>
    <row r="45" spans="1:8" x14ac:dyDescent="0.4">
      <c r="A45" s="21"/>
      <c r="B45" s="21"/>
      <c r="C45" s="21"/>
      <c r="D45" s="21"/>
      <c r="E45" s="21"/>
      <c r="F45" s="95"/>
      <c r="G45" s="96"/>
      <c r="H45" s="21"/>
    </row>
    <row r="46" spans="1:8" x14ac:dyDescent="0.4">
      <c r="A46" s="21"/>
      <c r="B46" s="21"/>
      <c r="C46" s="21"/>
      <c r="D46" s="21"/>
      <c r="E46" s="21"/>
      <c r="F46" s="95"/>
      <c r="G46" s="96"/>
      <c r="H46" s="21"/>
    </row>
    <row r="47" spans="1:8" x14ac:dyDescent="0.4">
      <c r="A47" s="21"/>
      <c r="B47" s="21"/>
      <c r="C47" s="21"/>
      <c r="D47" s="21"/>
      <c r="E47" s="21"/>
      <c r="F47" s="95"/>
      <c r="G47" s="96"/>
      <c r="H47" s="21"/>
    </row>
    <row r="48" spans="1:8" x14ac:dyDescent="0.4">
      <c r="A48" s="21"/>
      <c r="B48" s="21"/>
      <c r="C48" s="21"/>
      <c r="D48" s="21"/>
      <c r="E48" s="21"/>
      <c r="F48" s="95"/>
      <c r="G48" s="96"/>
      <c r="H48" s="21"/>
    </row>
  </sheetData>
  <mergeCells count="20">
    <mergeCell ref="F40:G40"/>
    <mergeCell ref="A1:H1"/>
    <mergeCell ref="A30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7:G47"/>
    <mergeCell ref="F48:G48"/>
    <mergeCell ref="F41:G41"/>
    <mergeCell ref="F42:G42"/>
    <mergeCell ref="F43:G43"/>
    <mergeCell ref="F44:G44"/>
    <mergeCell ref="F45:G45"/>
    <mergeCell ref="F46:G4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J27"/>
  <sheetViews>
    <sheetView workbookViewId="0">
      <selection activeCell="B6" sqref="B6"/>
    </sheetView>
  </sheetViews>
  <sheetFormatPr defaultRowHeight="17.399999999999999" x14ac:dyDescent="0.4"/>
  <cols>
    <col min="1" max="1" width="5.8984375" customWidth="1"/>
    <col min="2" max="2" width="15.59765625" customWidth="1"/>
    <col min="3" max="3" width="8.3984375" customWidth="1"/>
    <col min="4" max="4" width="12.8984375" customWidth="1"/>
    <col min="5" max="5" width="10.19921875" customWidth="1"/>
    <col min="6" max="6" width="33.3984375" customWidth="1"/>
    <col min="7" max="7" width="29.69921875" customWidth="1"/>
    <col min="8" max="8" width="10.5" bestFit="1" customWidth="1"/>
    <col min="9" max="9" width="8.59765625" customWidth="1"/>
    <col min="10" max="10" width="11.5" customWidth="1"/>
  </cols>
  <sheetData>
    <row r="1" spans="1:10" ht="17.399999999999999" customHeight="1" x14ac:dyDescent="0.4">
      <c r="A1" s="102" t="s">
        <v>20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 ht="17.399999999999999" customHeight="1" x14ac:dyDescent="0.4">
      <c r="A2" s="103"/>
      <c r="B2" s="103"/>
      <c r="C2" s="103"/>
      <c r="D2" s="103"/>
      <c r="E2" s="103"/>
      <c r="F2" s="103"/>
      <c r="G2" s="103"/>
      <c r="H2" s="103"/>
      <c r="I2" s="103"/>
      <c r="J2" s="103"/>
    </row>
    <row r="3" spans="1:10" x14ac:dyDescent="0.4">
      <c r="A3" s="104" t="s">
        <v>21</v>
      </c>
      <c r="B3" s="104"/>
      <c r="C3" s="105">
        <f>'Project 정보'!C2:C2</f>
        <v>0</v>
      </c>
      <c r="D3" s="106"/>
      <c r="E3" s="106"/>
      <c r="F3" s="107"/>
      <c r="G3" s="61" t="s">
        <v>22</v>
      </c>
      <c r="H3" s="108"/>
      <c r="I3" s="106"/>
      <c r="J3" s="107"/>
    </row>
    <row r="4" spans="1:10" x14ac:dyDescent="0.4">
      <c r="A4" s="104" t="s">
        <v>23</v>
      </c>
      <c r="B4" s="104"/>
      <c r="C4" s="105">
        <f>'Project 정보'!C4:C4</f>
        <v>0</v>
      </c>
      <c r="D4" s="106"/>
      <c r="E4" s="106"/>
      <c r="F4" s="107"/>
      <c r="G4" s="61" t="s">
        <v>24</v>
      </c>
      <c r="H4" s="109">
        <f ca="1">TODAY()</f>
        <v>44112</v>
      </c>
      <c r="I4" s="110"/>
      <c r="J4" s="111"/>
    </row>
    <row r="5" spans="1:10" x14ac:dyDescent="0.4">
      <c r="A5" s="62" t="s">
        <v>25</v>
      </c>
      <c r="B5" s="62" t="s">
        <v>26</v>
      </c>
      <c r="C5" s="62" t="s">
        <v>27</v>
      </c>
      <c r="D5" s="62" t="s">
        <v>28</v>
      </c>
      <c r="E5" s="62" t="s">
        <v>29</v>
      </c>
      <c r="F5" s="62" t="s">
        <v>30</v>
      </c>
      <c r="G5" s="63" t="s">
        <v>31</v>
      </c>
      <c r="H5" s="62" t="s">
        <v>32</v>
      </c>
      <c r="I5" s="62" t="s">
        <v>33</v>
      </c>
      <c r="J5" s="62" t="s">
        <v>34</v>
      </c>
    </row>
    <row r="6" spans="1:10" x14ac:dyDescent="0.4">
      <c r="A6" s="21">
        <f>ROW()-5</f>
        <v>1</v>
      </c>
      <c r="B6" s="21"/>
      <c r="C6" s="21"/>
      <c r="D6" s="21"/>
      <c r="E6" s="21"/>
      <c r="F6" s="22"/>
      <c r="G6" s="23"/>
      <c r="H6" s="21"/>
      <c r="I6" s="21"/>
      <c r="J6" s="24"/>
    </row>
    <row r="7" spans="1:10" x14ac:dyDescent="0.4">
      <c r="A7" s="21">
        <f>ROW()-5</f>
        <v>2</v>
      </c>
      <c r="B7" s="21"/>
      <c r="C7" s="21"/>
      <c r="D7" s="21"/>
      <c r="E7" s="21"/>
      <c r="F7" s="22"/>
      <c r="G7" s="23"/>
      <c r="H7" s="21"/>
      <c r="I7" s="21"/>
      <c r="J7" s="21"/>
    </row>
    <row r="8" spans="1:10" x14ac:dyDescent="0.4">
      <c r="A8" s="21">
        <f t="shared" ref="A8:A27" si="0">ROW()-5</f>
        <v>3</v>
      </c>
      <c r="B8" s="21"/>
      <c r="C8" s="21"/>
      <c r="D8" s="21"/>
      <c r="E8" s="21"/>
      <c r="F8" s="22"/>
      <c r="G8" s="23"/>
      <c r="H8" s="21"/>
      <c r="I8" s="21"/>
      <c r="J8" s="24"/>
    </row>
    <row r="9" spans="1:10" x14ac:dyDescent="0.4">
      <c r="A9" s="21">
        <f t="shared" si="0"/>
        <v>4</v>
      </c>
      <c r="B9" s="21"/>
      <c r="C9" s="21"/>
      <c r="D9" s="21"/>
      <c r="E9" s="21"/>
      <c r="F9" s="22"/>
      <c r="G9" s="23"/>
      <c r="H9" s="21"/>
      <c r="I9" s="21"/>
      <c r="J9" s="21"/>
    </row>
    <row r="10" spans="1:10" x14ac:dyDescent="0.4">
      <c r="A10" s="21">
        <f t="shared" si="0"/>
        <v>5</v>
      </c>
      <c r="B10" s="21"/>
      <c r="C10" s="21"/>
      <c r="D10" s="21"/>
      <c r="E10" s="21"/>
      <c r="F10" s="22"/>
      <c r="G10" s="23"/>
      <c r="H10" s="21"/>
      <c r="I10" s="21"/>
      <c r="J10" s="21"/>
    </row>
    <row r="11" spans="1:10" x14ac:dyDescent="0.4">
      <c r="A11" s="21">
        <f t="shared" si="0"/>
        <v>6</v>
      </c>
      <c r="B11" s="21"/>
      <c r="C11" s="21"/>
      <c r="D11" s="21"/>
      <c r="E11" s="21"/>
      <c r="F11" s="22"/>
      <c r="G11" s="23"/>
      <c r="H11" s="21"/>
      <c r="I11" s="21"/>
      <c r="J11" s="21"/>
    </row>
    <row r="12" spans="1:10" x14ac:dyDescent="0.4">
      <c r="A12" s="21">
        <f t="shared" si="0"/>
        <v>7</v>
      </c>
      <c r="B12" s="21"/>
      <c r="C12" s="21"/>
      <c r="D12" s="21"/>
      <c r="E12" s="21"/>
      <c r="F12" s="22"/>
      <c r="G12" s="23"/>
      <c r="H12" s="21"/>
      <c r="I12" s="21"/>
      <c r="J12" s="21"/>
    </row>
    <row r="13" spans="1:10" x14ac:dyDescent="0.4">
      <c r="A13" s="21">
        <f t="shared" si="0"/>
        <v>8</v>
      </c>
      <c r="B13" s="21"/>
      <c r="C13" s="21"/>
      <c r="D13" s="21"/>
      <c r="E13" s="21"/>
      <c r="F13" s="22"/>
      <c r="G13" s="23"/>
      <c r="H13" s="21"/>
      <c r="I13" s="21"/>
      <c r="J13" s="21"/>
    </row>
    <row r="14" spans="1:10" x14ac:dyDescent="0.4">
      <c r="A14" s="21"/>
      <c r="B14" s="21"/>
      <c r="C14" s="21"/>
      <c r="D14" s="21"/>
      <c r="E14" s="21"/>
      <c r="F14" s="22"/>
      <c r="G14" s="23"/>
      <c r="H14" s="21"/>
      <c r="I14" s="21"/>
      <c r="J14" s="21"/>
    </row>
    <row r="15" spans="1:10" x14ac:dyDescent="0.4">
      <c r="A15" s="21">
        <f t="shared" si="0"/>
        <v>10</v>
      </c>
      <c r="B15" s="21"/>
      <c r="C15" s="21"/>
      <c r="D15" s="21"/>
      <c r="E15" s="21"/>
      <c r="F15" s="22"/>
      <c r="G15" s="23"/>
      <c r="H15" s="21"/>
      <c r="I15" s="21"/>
      <c r="J15" s="21"/>
    </row>
    <row r="16" spans="1:10" x14ac:dyDescent="0.4">
      <c r="A16" s="21">
        <f t="shared" si="0"/>
        <v>11</v>
      </c>
      <c r="B16" s="24"/>
      <c r="C16" s="21"/>
      <c r="D16" s="21"/>
      <c r="E16" s="21"/>
      <c r="F16" s="22"/>
      <c r="G16" s="23"/>
      <c r="H16" s="21"/>
      <c r="I16" s="21"/>
      <c r="J16" s="21"/>
    </row>
    <row r="17" spans="1:10" x14ac:dyDescent="0.4">
      <c r="A17" s="21">
        <f t="shared" si="0"/>
        <v>12</v>
      </c>
      <c r="B17" s="21"/>
      <c r="C17" s="21"/>
      <c r="D17" s="21"/>
      <c r="E17" s="21"/>
      <c r="F17" s="23"/>
      <c r="G17" s="23"/>
      <c r="H17" s="21"/>
      <c r="I17" s="21"/>
      <c r="J17" s="21"/>
    </row>
    <row r="18" spans="1:10" x14ac:dyDescent="0.4">
      <c r="A18" s="21">
        <f t="shared" si="0"/>
        <v>13</v>
      </c>
      <c r="B18" s="21"/>
      <c r="C18" s="21"/>
      <c r="D18" s="21"/>
      <c r="E18" s="21"/>
      <c r="F18" s="23"/>
      <c r="G18" s="23"/>
      <c r="H18" s="21"/>
      <c r="I18" s="21"/>
      <c r="J18" s="21"/>
    </row>
    <row r="19" spans="1:10" x14ac:dyDescent="0.4">
      <c r="A19" s="21">
        <f t="shared" si="0"/>
        <v>14</v>
      </c>
      <c r="B19" s="21"/>
      <c r="C19" s="21"/>
      <c r="D19" s="21"/>
      <c r="E19" s="21"/>
      <c r="F19" s="22"/>
      <c r="G19" s="23"/>
      <c r="H19" s="21"/>
      <c r="I19" s="21"/>
      <c r="J19" s="21"/>
    </row>
    <row r="20" spans="1:10" x14ac:dyDescent="0.4">
      <c r="A20" s="21">
        <f t="shared" si="0"/>
        <v>15</v>
      </c>
      <c r="B20" s="21"/>
      <c r="C20" s="21"/>
      <c r="D20" s="21"/>
      <c r="E20" s="21"/>
      <c r="F20" s="22"/>
      <c r="G20" s="23"/>
      <c r="H20" s="21"/>
      <c r="I20" s="21"/>
      <c r="J20" s="21"/>
    </row>
    <row r="21" spans="1:10" x14ac:dyDescent="0.4">
      <c r="A21" s="21">
        <f t="shared" si="0"/>
        <v>16</v>
      </c>
      <c r="B21" s="21"/>
      <c r="C21" s="21"/>
      <c r="D21" s="21"/>
      <c r="E21" s="21"/>
      <c r="F21" s="22"/>
      <c r="G21" s="23"/>
      <c r="H21" s="21"/>
      <c r="I21" s="21"/>
      <c r="J21" s="21"/>
    </row>
    <row r="22" spans="1:10" x14ac:dyDescent="0.4">
      <c r="A22" s="21">
        <f t="shared" si="0"/>
        <v>17</v>
      </c>
      <c r="B22" s="21"/>
      <c r="C22" s="21"/>
      <c r="D22" s="21"/>
      <c r="E22" s="21"/>
      <c r="F22" s="22"/>
      <c r="G22" s="23"/>
      <c r="H22" s="21"/>
      <c r="I22" s="21"/>
      <c r="J22" s="21"/>
    </row>
    <row r="23" spans="1:10" x14ac:dyDescent="0.4">
      <c r="A23" s="21">
        <f t="shared" si="0"/>
        <v>18</v>
      </c>
      <c r="B23" s="21"/>
      <c r="C23" s="21"/>
      <c r="D23" s="21"/>
      <c r="E23" s="21"/>
      <c r="F23" s="22"/>
      <c r="G23" s="23"/>
      <c r="H23" s="21"/>
      <c r="I23" s="21"/>
      <c r="J23" s="21"/>
    </row>
    <row r="24" spans="1:10" x14ac:dyDescent="0.4">
      <c r="A24" s="21">
        <f t="shared" si="0"/>
        <v>19</v>
      </c>
      <c r="B24" s="21"/>
      <c r="C24" s="21"/>
      <c r="D24" s="21"/>
      <c r="E24" s="21"/>
      <c r="F24" s="22"/>
      <c r="G24" s="23"/>
      <c r="H24" s="21"/>
      <c r="I24" s="21"/>
      <c r="J24" s="21"/>
    </row>
    <row r="25" spans="1:10" x14ac:dyDescent="0.4">
      <c r="A25" s="21">
        <f t="shared" si="0"/>
        <v>20</v>
      </c>
      <c r="B25" s="21"/>
      <c r="C25" s="21"/>
      <c r="D25" s="21"/>
      <c r="E25" s="21"/>
      <c r="F25" s="22"/>
      <c r="G25" s="23"/>
      <c r="H25" s="21"/>
      <c r="I25" s="21"/>
      <c r="J25" s="21"/>
    </row>
    <row r="26" spans="1:10" x14ac:dyDescent="0.4">
      <c r="A26" s="21">
        <f t="shared" si="0"/>
        <v>21</v>
      </c>
      <c r="B26" s="21"/>
      <c r="C26" s="21"/>
      <c r="D26" s="21"/>
      <c r="E26" s="21"/>
      <c r="F26" s="23"/>
      <c r="G26" s="23"/>
      <c r="H26" s="21"/>
      <c r="I26" s="21"/>
      <c r="J26" s="21"/>
    </row>
    <row r="27" spans="1:10" x14ac:dyDescent="0.4">
      <c r="A27" s="21">
        <f t="shared" si="0"/>
        <v>22</v>
      </c>
      <c r="B27" s="21"/>
      <c r="C27" s="21"/>
      <c r="D27" s="21"/>
      <c r="E27" s="21"/>
      <c r="F27" s="23"/>
      <c r="G27" s="23"/>
      <c r="H27" s="21"/>
      <c r="I27" s="21"/>
      <c r="J27" s="21"/>
    </row>
  </sheetData>
  <mergeCells count="7">
    <mergeCell ref="A1:J2"/>
    <mergeCell ref="A3:B3"/>
    <mergeCell ref="C3:F3"/>
    <mergeCell ref="H3:J3"/>
    <mergeCell ref="A4:B4"/>
    <mergeCell ref="C4:F4"/>
    <mergeCell ref="H4:J4"/>
  </mergeCells>
  <phoneticPr fontId="2" type="noConversion"/>
  <pageMargins left="0.7" right="0.7" top="0.75" bottom="0.75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Project 정보</vt:lpstr>
      <vt:lpstr>프로젝트 Milestone</vt:lpstr>
      <vt:lpstr>프로젝트 진행사항 </vt:lpstr>
      <vt:lpstr>TBD &amp; Risk 관리</vt:lpstr>
      <vt:lpstr>Project Output List</vt:lpstr>
      <vt:lpstr>period_selected</vt:lpstr>
      <vt:lpstr>'프로젝트 Milestone'!Print_Area</vt:lpstr>
      <vt:lpstr>'프로젝트 진행사항 '!Print_Area</vt:lpstr>
      <vt:lpstr>ProjectEnd</vt:lpstr>
      <vt:lpstr>TeamName</vt:lpstr>
      <vt:lpstr>프로젝트시작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O18005</cp:lastModifiedBy>
  <dcterms:created xsi:type="dcterms:W3CDTF">2016-01-20T00:47:34Z</dcterms:created>
  <dcterms:modified xsi:type="dcterms:W3CDTF">2020-10-08T03:06:52Z</dcterms:modified>
</cp:coreProperties>
</file>