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" yWindow="456" windowWidth="23256" windowHeight="13176"/>
  </bookViews>
  <sheets>
    <sheet name="8b10b" sheetId="1" r:id="rId1"/>
    <sheet name="64b66b" sheetId="4" r:id="rId2"/>
  </sheets>
  <calcPr calcId="145621"/>
</workbook>
</file>

<file path=xl/calcChain.xml><?xml version="1.0" encoding="utf-8"?>
<calcChain xmlns="http://schemas.openxmlformats.org/spreadsheetml/2006/main">
  <c r="F33" i="1" l="1"/>
  <c r="F32" i="1"/>
  <c r="F31" i="1"/>
  <c r="I25" i="1"/>
  <c r="F26" i="1"/>
  <c r="H26" i="1"/>
  <c r="F27" i="1"/>
  <c r="H27" i="1" s="1"/>
  <c r="H34" i="1"/>
  <c r="F23" i="1"/>
  <c r="F28" i="1" s="1"/>
  <c r="H28" i="1" s="1"/>
  <c r="F24" i="1"/>
  <c r="F29" i="1" s="1"/>
  <c r="H29" i="1" s="1"/>
  <c r="F25" i="1"/>
  <c r="F30" i="1" s="1"/>
  <c r="H30" i="1" s="1"/>
  <c r="F31" i="4"/>
  <c r="H31" i="4"/>
  <c r="F32" i="4"/>
  <c r="H32" i="4" s="1"/>
  <c r="F30" i="4"/>
  <c r="H30" i="4"/>
  <c r="F26" i="4"/>
  <c r="H26" i="4" s="1"/>
  <c r="F25" i="4"/>
  <c r="H25" i="4"/>
  <c r="H33" i="4"/>
  <c r="F24" i="4"/>
  <c r="F29" i="4"/>
  <c r="H29" i="4"/>
  <c r="F23" i="4"/>
  <c r="F28" i="4" s="1"/>
  <c r="H28" i="4" s="1"/>
  <c r="F22" i="4"/>
  <c r="F27" i="4" s="1"/>
  <c r="H27" i="4" s="1"/>
  <c r="H32" i="1" l="1"/>
  <c r="H33" i="1"/>
  <c r="H34" i="4"/>
  <c r="H31" i="1"/>
  <c r="H35" i="1" s="1"/>
  <c r="H35" i="4" l="1"/>
  <c r="H38" i="4" s="1"/>
  <c r="F38" i="4" s="1"/>
  <c r="F34" i="4"/>
  <c r="H36" i="1"/>
  <c r="H39" i="1" s="1"/>
  <c r="F39" i="1" s="1"/>
  <c r="F35" i="1"/>
</calcChain>
</file>

<file path=xl/sharedStrings.xml><?xml version="1.0" encoding="utf-8"?>
<sst xmlns="http://schemas.openxmlformats.org/spreadsheetml/2006/main" count="136" uniqueCount="60">
  <si>
    <t>1. RX/FB ADC sampling rate/48       (note that in half rate mode, ADC sampling rate will be half)</t>
  </si>
  <si>
    <t>2. TX DAC sampling rate/192</t>
  </si>
  <si>
    <t>3. RX/FB/TX Interface Rate/16</t>
  </si>
  <si>
    <t>5. In 204C case, All lane rates/(2112*E). Where E is the number of Extended Multi Blocks.</t>
  </si>
  <si>
    <t>Fadc</t>
  </si>
  <si>
    <t>MSPS</t>
  </si>
  <si>
    <t>Fdac</t>
  </si>
  <si>
    <t>TX Interpolation</t>
  </si>
  <si>
    <t>RX Decimation</t>
  </si>
  <si>
    <t>FB Decimation</t>
  </si>
  <si>
    <t>RX Interface Rate</t>
  </si>
  <si>
    <t>FB Interface Rate</t>
  </si>
  <si>
    <t>TX Interface Rate</t>
  </si>
  <si>
    <t>Fadc/48</t>
  </si>
  <si>
    <t>Fdac/192</t>
  </si>
  <si>
    <t>Mbps</t>
  </si>
  <si>
    <t>Frx_int/16</t>
  </si>
  <si>
    <t>Ffb_int/16</t>
  </si>
  <si>
    <t>Ftx_int/16</t>
  </si>
  <si>
    <t>MHz</t>
  </si>
  <si>
    <t>Condition 1</t>
  </si>
  <si>
    <t>Condition 2</t>
  </si>
  <si>
    <t>Condition 3</t>
  </si>
  <si>
    <t>Condition 4</t>
  </si>
  <si>
    <t># multiframes (K)</t>
  </si>
  <si>
    <t>Fsysref_max</t>
  </si>
  <si>
    <t>Max SYSREF Frequency</t>
  </si>
  <si>
    <t>GCD</t>
  </si>
  <si>
    <t>F/base</t>
  </si>
  <si>
    <t>base</t>
  </si>
  <si>
    <t>Power 2 divider</t>
  </si>
  <si>
    <t># extended multiblocks</t>
  </si>
  <si>
    <t>Conditions</t>
  </si>
  <si>
    <t>Condition 5</t>
  </si>
  <si>
    <t>Inputs</t>
  </si>
  <si>
    <t>Calculations</t>
  </si>
  <si>
    <t>Answer</t>
  </si>
  <si>
    <t>Condition 6</t>
  </si>
  <si>
    <t>F_serdes_1</t>
  </si>
  <si>
    <t>F_serdes_2</t>
  </si>
  <si>
    <t>F_serdes_3</t>
  </si>
  <si>
    <t>List serdes rates. If fewer than 3, just duplicate</t>
  </si>
  <si>
    <t>OR an integer divided frequency</t>
  </si>
  <si>
    <t># octets/Frame RX (F)</t>
  </si>
  <si>
    <t># octets/Frame FB (F)</t>
  </si>
  <si>
    <t># octets/Frame TX (F)</t>
  </si>
  <si>
    <t>F_serdes_RX</t>
  </si>
  <si>
    <t>F_serdes_FB</t>
  </si>
  <si>
    <t>F_serdes_TX</t>
  </si>
  <si>
    <t>List serdes rates. If fewer than 3 or shared, just duplicate</t>
  </si>
  <si>
    <t>Frx_serdes/K/F/10</t>
  </si>
  <si>
    <t>Ffb_serdes/K/F/10</t>
  </si>
  <si>
    <t>Ftx_serdes/K/F/10</t>
  </si>
  <si>
    <t>Frx_serdes/E/2112</t>
  </si>
  <si>
    <t>Ffb_serdes/E/2112</t>
  </si>
  <si>
    <t>Ftx_serdes/E/2112</t>
  </si>
  <si>
    <t>6. It should be max of 10 MHz</t>
  </si>
  <si>
    <t>4. In 204B case, All lane rates/(10*K*F). Where K is the number of multi frames and F is the # of octets/frame.</t>
  </si>
  <si>
    <t>6. It should be max of 10M. (Not exact but since general use case will be much smaller, this is rough). This too depends on the VCO clock and all.</t>
  </si>
  <si>
    <t>1 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</si>
</sst>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40"/>
  <sheetViews>
    <sheetView tabSelected="1" workbookViewId="0">
      <selection activeCell="C7" sqref="C7"/>
    </sheetView>
  </sheetViews>
  <sheetFormatPr defaultColWidth="8.77734375" defaultRowHeight="14.4" x14ac:dyDescent="0.3"/>
  <cols>
    <col min="4" max="4" width="14.44140625" customWidth="1"/>
    <col min="5" max="5" width="24.6640625" customWidth="1"/>
    <col min="6" max="6" width="11" customWidth="1"/>
    <col min="8" max="9" width="8.77734375" style="4"/>
  </cols>
  <sheetData>
    <row r="1" spans="4:7" ht="15" x14ac:dyDescent="0.2">
      <c r="E1" t="s">
        <v>32</v>
      </c>
    </row>
    <row r="2" spans="4:7" x14ac:dyDescent="0.3">
      <c r="E2" s="1" t="s">
        <v>0</v>
      </c>
    </row>
    <row r="3" spans="4:7" ht="15" x14ac:dyDescent="0.2">
      <c r="E3" s="1" t="s">
        <v>1</v>
      </c>
    </row>
    <row r="4" spans="4:7" ht="15" x14ac:dyDescent="0.2">
      <c r="E4" s="1" t="s">
        <v>2</v>
      </c>
    </row>
    <row r="5" spans="4:7" ht="15" x14ac:dyDescent="0.2">
      <c r="E5" s="1" t="s">
        <v>57</v>
      </c>
    </row>
    <row r="6" spans="4:7" ht="15" x14ac:dyDescent="0.2">
      <c r="E6" s="1" t="s">
        <v>56</v>
      </c>
    </row>
    <row r="8" spans="4:7" ht="15" x14ac:dyDescent="0.2">
      <c r="F8" s="11" t="s">
        <v>34</v>
      </c>
    </row>
    <row r="9" spans="4:7" ht="15" x14ac:dyDescent="0.2">
      <c r="D9" s="2"/>
      <c r="E9" s="6" t="s">
        <v>4</v>
      </c>
      <c r="F9" s="9">
        <v>2949.12</v>
      </c>
      <c r="G9" t="s">
        <v>5</v>
      </c>
    </row>
    <row r="10" spans="4:7" ht="15" x14ac:dyDescent="0.2">
      <c r="D10" s="2"/>
      <c r="E10" s="6" t="s">
        <v>6</v>
      </c>
      <c r="F10" s="9">
        <v>5898.24</v>
      </c>
      <c r="G10" t="s">
        <v>5</v>
      </c>
    </row>
    <row r="11" spans="4:7" ht="15" x14ac:dyDescent="0.2">
      <c r="D11" s="2"/>
      <c r="E11" s="6" t="s">
        <v>8</v>
      </c>
      <c r="F11" s="9">
        <v>24</v>
      </c>
    </row>
    <row r="12" spans="4:7" ht="15" x14ac:dyDescent="0.2">
      <c r="E12" s="6" t="s">
        <v>9</v>
      </c>
      <c r="F12" s="9">
        <v>6</v>
      </c>
    </row>
    <row r="13" spans="4:7" ht="15" x14ac:dyDescent="0.2">
      <c r="E13" s="6" t="s">
        <v>7</v>
      </c>
      <c r="F13" s="9">
        <v>12</v>
      </c>
    </row>
    <row r="14" spans="4:7" ht="14.55" customHeight="1" x14ac:dyDescent="0.3">
      <c r="D14" s="14" t="s">
        <v>49</v>
      </c>
      <c r="E14" s="6" t="s">
        <v>46</v>
      </c>
      <c r="F14" s="9">
        <v>9830.4</v>
      </c>
      <c r="G14" t="s">
        <v>15</v>
      </c>
    </row>
    <row r="15" spans="4:7" x14ac:dyDescent="0.3">
      <c r="D15" s="14"/>
      <c r="E15" s="6" t="s">
        <v>47</v>
      </c>
      <c r="F15" s="9">
        <v>19660.8</v>
      </c>
      <c r="G15" t="s">
        <v>15</v>
      </c>
    </row>
    <row r="16" spans="4:7" x14ac:dyDescent="0.3">
      <c r="D16" s="14"/>
      <c r="E16" s="6" t="s">
        <v>48</v>
      </c>
      <c r="F16" s="9">
        <v>19660.8</v>
      </c>
      <c r="G16" t="s">
        <v>15</v>
      </c>
    </row>
    <row r="17" spans="4:10" x14ac:dyDescent="0.3">
      <c r="D17" s="14"/>
      <c r="E17" s="6" t="s">
        <v>24</v>
      </c>
      <c r="F17" s="9">
        <v>16</v>
      </c>
    </row>
    <row r="18" spans="4:10" ht="15" x14ac:dyDescent="0.2">
      <c r="E18" s="6" t="s">
        <v>43</v>
      </c>
      <c r="F18" s="9">
        <v>8</v>
      </c>
    </row>
    <row r="19" spans="4:10" ht="15" x14ac:dyDescent="0.2">
      <c r="E19" s="6" t="s">
        <v>44</v>
      </c>
      <c r="F19" s="9">
        <v>4</v>
      </c>
    </row>
    <row r="20" spans="4:10" ht="15" x14ac:dyDescent="0.2">
      <c r="E20" s="6" t="s">
        <v>45</v>
      </c>
      <c r="F20" s="9">
        <v>4</v>
      </c>
    </row>
    <row r="21" spans="4:10" ht="15" x14ac:dyDescent="0.2">
      <c r="E21" s="6"/>
    </row>
    <row r="22" spans="4:10" ht="15" x14ac:dyDescent="0.2">
      <c r="E22" s="6"/>
      <c r="F22" t="s">
        <v>35</v>
      </c>
    </row>
    <row r="23" spans="4:10" ht="15" x14ac:dyDescent="0.2">
      <c r="E23" s="6" t="s">
        <v>10</v>
      </c>
      <c r="F23">
        <f>F9/F11</f>
        <v>122.88</v>
      </c>
      <c r="G23" t="s">
        <v>5</v>
      </c>
    </row>
    <row r="24" spans="4:10" ht="15" x14ac:dyDescent="0.2">
      <c r="E24" s="6" t="s">
        <v>11</v>
      </c>
      <c r="F24">
        <f>F9/F12</f>
        <v>491.52</v>
      </c>
      <c r="G24" t="s">
        <v>5</v>
      </c>
      <c r="I24" s="4" t="s">
        <v>29</v>
      </c>
    </row>
    <row r="25" spans="4:10" ht="15" x14ac:dyDescent="0.2">
      <c r="E25" s="6" t="s">
        <v>12</v>
      </c>
      <c r="F25">
        <f>F10/F13</f>
        <v>491.52</v>
      </c>
      <c r="G25" t="s">
        <v>5</v>
      </c>
      <c r="H25" s="4" t="s">
        <v>28</v>
      </c>
      <c r="I25" s="5">
        <f>3.84/256/3/5</f>
        <v>1E-3</v>
      </c>
      <c r="J25" t="s">
        <v>19</v>
      </c>
    </row>
    <row r="26" spans="4:10" ht="15" x14ac:dyDescent="0.2">
      <c r="D26" t="s">
        <v>20</v>
      </c>
      <c r="E26" s="6" t="s">
        <v>13</v>
      </c>
      <c r="F26">
        <f>F9/48</f>
        <v>61.44</v>
      </c>
      <c r="G26" t="s">
        <v>19</v>
      </c>
      <c r="H26" s="4">
        <f>F26/$I$25</f>
        <v>61440</v>
      </c>
    </row>
    <row r="27" spans="4:10" ht="15" x14ac:dyDescent="0.2">
      <c r="D27" t="s">
        <v>21</v>
      </c>
      <c r="E27" s="6" t="s">
        <v>14</v>
      </c>
      <c r="F27">
        <f>F10/192</f>
        <v>30.72</v>
      </c>
      <c r="G27" t="s">
        <v>19</v>
      </c>
      <c r="H27" s="4">
        <f t="shared" ref="H26:H34" si="0">F27/$I$25</f>
        <v>30720</v>
      </c>
    </row>
    <row r="28" spans="4:10" ht="15" x14ac:dyDescent="0.2">
      <c r="D28" t="s">
        <v>22</v>
      </c>
      <c r="E28" s="6" t="s">
        <v>16</v>
      </c>
      <c r="F28">
        <f>F23/16</f>
        <v>7.68</v>
      </c>
      <c r="G28" t="s">
        <v>19</v>
      </c>
      <c r="H28" s="4">
        <f t="shared" si="0"/>
        <v>7680</v>
      </c>
    </row>
    <row r="29" spans="4:10" ht="15" x14ac:dyDescent="0.2">
      <c r="D29" t="s">
        <v>22</v>
      </c>
      <c r="E29" s="6" t="s">
        <v>17</v>
      </c>
      <c r="F29">
        <f>F24/16</f>
        <v>30.72</v>
      </c>
      <c r="G29" t="s">
        <v>19</v>
      </c>
      <c r="H29" s="4">
        <f t="shared" si="0"/>
        <v>30720</v>
      </c>
    </row>
    <row r="30" spans="4:10" ht="15" x14ac:dyDescent="0.2">
      <c r="D30" t="s">
        <v>22</v>
      </c>
      <c r="E30" s="6" t="s">
        <v>18</v>
      </c>
      <c r="F30">
        <f>F25/16</f>
        <v>30.72</v>
      </c>
      <c r="G30" t="s">
        <v>19</v>
      </c>
      <c r="H30" s="4">
        <f t="shared" si="0"/>
        <v>30720</v>
      </c>
    </row>
    <row r="31" spans="4:10" ht="15" x14ac:dyDescent="0.2">
      <c r="D31" t="s">
        <v>23</v>
      </c>
      <c r="E31" s="6" t="s">
        <v>50</v>
      </c>
      <c r="F31">
        <f>F14/LCM(10*F$17*F18,40)</f>
        <v>7.68</v>
      </c>
      <c r="G31" t="s">
        <v>19</v>
      </c>
      <c r="H31" s="4">
        <f t="shared" si="0"/>
        <v>7680</v>
      </c>
    </row>
    <row r="32" spans="4:10" x14ac:dyDescent="0.3">
      <c r="D32" t="s">
        <v>23</v>
      </c>
      <c r="E32" s="6" t="s">
        <v>51</v>
      </c>
      <c r="F32">
        <f>F15/LCM(10*F$17*F19,40)</f>
        <v>30.72</v>
      </c>
      <c r="G32" t="s">
        <v>19</v>
      </c>
      <c r="H32" s="4">
        <f t="shared" si="0"/>
        <v>30720</v>
      </c>
    </row>
    <row r="33" spans="4:8" x14ac:dyDescent="0.3">
      <c r="D33" t="s">
        <v>23</v>
      </c>
      <c r="E33" s="6" t="s">
        <v>52</v>
      </c>
      <c r="F33">
        <f>F16/LCM(10*F$17*F20,40)</f>
        <v>30.72</v>
      </c>
      <c r="G33" t="s">
        <v>19</v>
      </c>
      <c r="H33" s="4">
        <f t="shared" si="0"/>
        <v>30720</v>
      </c>
    </row>
    <row r="34" spans="4:8" x14ac:dyDescent="0.3">
      <c r="D34" t="s">
        <v>37</v>
      </c>
      <c r="E34" s="6" t="s">
        <v>25</v>
      </c>
      <c r="F34">
        <v>10</v>
      </c>
      <c r="G34" t="s">
        <v>19</v>
      </c>
      <c r="H34" s="4">
        <f t="shared" si="0"/>
        <v>10000</v>
      </c>
    </row>
    <row r="35" spans="4:8" x14ac:dyDescent="0.3">
      <c r="E35" s="7" t="s">
        <v>27</v>
      </c>
      <c r="F35">
        <f>H35*$I$25</f>
        <v>7.68</v>
      </c>
      <c r="G35" t="s">
        <v>19</v>
      </c>
      <c r="H35" s="4">
        <f>GCD(H26:H27,H28,H29,H30,H31,H32,H33)</f>
        <v>7680</v>
      </c>
    </row>
    <row r="36" spans="4:8" x14ac:dyDescent="0.3">
      <c r="E36" s="7" t="s">
        <v>30</v>
      </c>
      <c r="H36" s="4">
        <f>MAX(CEILING(LOG(H35/H34,2),1),0)</f>
        <v>0</v>
      </c>
    </row>
    <row r="37" spans="4:8" x14ac:dyDescent="0.3">
      <c r="E37" s="8"/>
    </row>
    <row r="38" spans="4:8" x14ac:dyDescent="0.3">
      <c r="E38" s="8"/>
      <c r="F38" s="10" t="s">
        <v>36</v>
      </c>
    </row>
    <row r="39" spans="4:8" x14ac:dyDescent="0.3">
      <c r="E39" s="7" t="s">
        <v>26</v>
      </c>
      <c r="F39" s="10">
        <f>H39*$I$25</f>
        <v>7.68</v>
      </c>
      <c r="G39" t="s">
        <v>19</v>
      </c>
      <c r="H39" s="4">
        <f>H35*2^(-H36)</f>
        <v>7680</v>
      </c>
    </row>
    <row r="40" spans="4:8" x14ac:dyDescent="0.3">
      <c r="E40" s="13" t="s">
        <v>42</v>
      </c>
      <c r="F40" s="13"/>
      <c r="G40" s="13"/>
      <c r="H40" s="13"/>
    </row>
  </sheetData>
  <mergeCells count="2">
    <mergeCell ref="E40:H40"/>
    <mergeCell ref="D14:D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39"/>
  <sheetViews>
    <sheetView topLeftCell="A16" workbookViewId="0">
      <selection activeCell="E43" sqref="E43:H43"/>
    </sheetView>
  </sheetViews>
  <sheetFormatPr defaultColWidth="8.77734375" defaultRowHeight="14.4" x14ac:dyDescent="0.3"/>
  <cols>
    <col min="4" max="4" width="16.109375" customWidth="1"/>
    <col min="5" max="5" width="20.44140625" customWidth="1"/>
    <col min="6" max="6" width="10.77734375" customWidth="1"/>
    <col min="8" max="9" width="8.77734375" style="4"/>
  </cols>
  <sheetData>
    <row r="3" spans="4:7" ht="15" x14ac:dyDescent="0.2">
      <c r="E3" t="s">
        <v>32</v>
      </c>
    </row>
    <row r="4" spans="4:7" x14ac:dyDescent="0.3">
      <c r="E4" s="1" t="s">
        <v>0</v>
      </c>
    </row>
    <row r="5" spans="4:7" ht="15" x14ac:dyDescent="0.2">
      <c r="E5" s="1" t="s">
        <v>1</v>
      </c>
    </row>
    <row r="6" spans="4:7" x14ac:dyDescent="0.3">
      <c r="E6" s="1" t="s">
        <v>2</v>
      </c>
    </row>
    <row r="7" spans="4:7" x14ac:dyDescent="0.3">
      <c r="E7" s="1" t="s">
        <v>3</v>
      </c>
    </row>
    <row r="8" spans="4:7" ht="15" x14ac:dyDescent="0.2">
      <c r="E8" s="1" t="s">
        <v>58</v>
      </c>
    </row>
    <row r="10" spans="4:7" ht="15" x14ac:dyDescent="0.2">
      <c r="F10" s="11" t="s">
        <v>34</v>
      </c>
    </row>
    <row r="11" spans="4:7" ht="15" x14ac:dyDescent="0.2">
      <c r="D11" s="2"/>
      <c r="E11" s="3" t="s">
        <v>4</v>
      </c>
      <c r="F11" s="9">
        <v>2949.12</v>
      </c>
      <c r="G11" t="s">
        <v>5</v>
      </c>
    </row>
    <row r="12" spans="4:7" ht="15" x14ac:dyDescent="0.2">
      <c r="D12" s="2"/>
      <c r="E12" s="3" t="s">
        <v>6</v>
      </c>
      <c r="F12" s="9">
        <v>5898.24</v>
      </c>
      <c r="G12" t="s">
        <v>5</v>
      </c>
    </row>
    <row r="13" spans="4:7" ht="15" x14ac:dyDescent="0.2">
      <c r="D13" s="2"/>
      <c r="E13" s="3" t="s">
        <v>8</v>
      </c>
      <c r="F13" s="9">
        <v>12</v>
      </c>
    </row>
    <row r="14" spans="4:7" ht="15" x14ac:dyDescent="0.2">
      <c r="E14" s="3" t="s">
        <v>9</v>
      </c>
      <c r="F14" s="9">
        <v>6</v>
      </c>
    </row>
    <row r="15" spans="4:7" ht="15" x14ac:dyDescent="0.2">
      <c r="E15" s="3" t="s">
        <v>7</v>
      </c>
      <c r="F15" s="9">
        <v>12</v>
      </c>
    </row>
    <row r="16" spans="4:7" x14ac:dyDescent="0.3">
      <c r="D16" s="14" t="s">
        <v>41</v>
      </c>
      <c r="E16" s="6" t="s">
        <v>38</v>
      </c>
      <c r="F16" s="9">
        <v>16220.16</v>
      </c>
      <c r="G16" t="s">
        <v>15</v>
      </c>
    </row>
    <row r="17" spans="4:10" x14ac:dyDescent="0.3">
      <c r="D17" s="14"/>
      <c r="E17" s="6" t="s">
        <v>39</v>
      </c>
      <c r="F17" s="9">
        <v>16220.16</v>
      </c>
      <c r="G17" t="s">
        <v>15</v>
      </c>
    </row>
    <row r="18" spans="4:10" x14ac:dyDescent="0.3">
      <c r="D18" s="14"/>
      <c r="E18" s="6" t="s">
        <v>40</v>
      </c>
      <c r="F18" s="12">
        <v>24330.239999999998</v>
      </c>
      <c r="G18" t="s">
        <v>15</v>
      </c>
    </row>
    <row r="19" spans="4:10" x14ac:dyDescent="0.3">
      <c r="E19" s="3" t="s">
        <v>31</v>
      </c>
      <c r="F19" s="9">
        <v>1</v>
      </c>
      <c r="G19" s="4" t="s">
        <v>59</v>
      </c>
    </row>
    <row r="20" spans="4:10" x14ac:dyDescent="0.3">
      <c r="E20" s="3"/>
    </row>
    <row r="21" spans="4:10" ht="15" x14ac:dyDescent="0.2">
      <c r="F21" t="s">
        <v>35</v>
      </c>
    </row>
    <row r="22" spans="4:10" ht="15" x14ac:dyDescent="0.2">
      <c r="E22" s="3" t="s">
        <v>10</v>
      </c>
      <c r="F22">
        <f>F11/F13</f>
        <v>245.76</v>
      </c>
      <c r="G22" t="s">
        <v>5</v>
      </c>
    </row>
    <row r="23" spans="4:10" ht="15" x14ac:dyDescent="0.2">
      <c r="E23" s="3" t="s">
        <v>11</v>
      </c>
      <c r="F23">
        <f>F11/F14</f>
        <v>491.52</v>
      </c>
      <c r="G23" t="s">
        <v>5</v>
      </c>
      <c r="I23" s="4" t="s">
        <v>29</v>
      </c>
    </row>
    <row r="24" spans="4:10" ht="15" x14ac:dyDescent="0.2">
      <c r="E24" s="3" t="s">
        <v>12</v>
      </c>
      <c r="F24">
        <f>F12/F15</f>
        <v>491.52</v>
      </c>
      <c r="G24" t="s">
        <v>5</v>
      </c>
      <c r="H24" s="4" t="s">
        <v>28</v>
      </c>
      <c r="I24" s="4">
        <v>1E-3</v>
      </c>
      <c r="J24" t="s">
        <v>19</v>
      </c>
    </row>
    <row r="25" spans="4:10" ht="15" x14ac:dyDescent="0.2">
      <c r="D25" t="s">
        <v>20</v>
      </c>
      <c r="E25" s="3" t="s">
        <v>13</v>
      </c>
      <c r="F25">
        <f>F11/48</f>
        <v>61.44</v>
      </c>
      <c r="G25" t="s">
        <v>19</v>
      </c>
      <c r="H25" s="4">
        <f t="shared" ref="H25:H33" si="0">F25/$I$24</f>
        <v>61440</v>
      </c>
    </row>
    <row r="26" spans="4:10" ht="15" x14ac:dyDescent="0.2">
      <c r="D26" t="s">
        <v>21</v>
      </c>
      <c r="E26" s="3" t="s">
        <v>14</v>
      </c>
      <c r="F26">
        <f>F12/192</f>
        <v>30.72</v>
      </c>
      <c r="G26" t="s">
        <v>19</v>
      </c>
      <c r="H26" s="4">
        <f t="shared" si="0"/>
        <v>30720</v>
      </c>
    </row>
    <row r="27" spans="4:10" ht="15" x14ac:dyDescent="0.2">
      <c r="D27" t="s">
        <v>22</v>
      </c>
      <c r="E27" s="3" t="s">
        <v>16</v>
      </c>
      <c r="F27">
        <f>F22/16</f>
        <v>15.36</v>
      </c>
      <c r="G27" t="s">
        <v>19</v>
      </c>
      <c r="H27" s="4">
        <f t="shared" si="0"/>
        <v>15360</v>
      </c>
    </row>
    <row r="28" spans="4:10" ht="15" x14ac:dyDescent="0.2">
      <c r="D28" t="s">
        <v>22</v>
      </c>
      <c r="E28" s="3" t="s">
        <v>17</v>
      </c>
      <c r="F28">
        <f>F23/16</f>
        <v>30.72</v>
      </c>
      <c r="G28" t="s">
        <v>19</v>
      </c>
      <c r="H28" s="4">
        <f t="shared" si="0"/>
        <v>30720</v>
      </c>
    </row>
    <row r="29" spans="4:10" ht="15" x14ac:dyDescent="0.2">
      <c r="D29" t="s">
        <v>22</v>
      </c>
      <c r="E29" s="3" t="s">
        <v>18</v>
      </c>
      <c r="F29">
        <f>F24/16</f>
        <v>30.72</v>
      </c>
      <c r="G29" t="s">
        <v>19</v>
      </c>
      <c r="H29" s="4">
        <f t="shared" si="0"/>
        <v>30720</v>
      </c>
    </row>
    <row r="30" spans="4:10" s="4" customFormat="1" ht="15" x14ac:dyDescent="0.2">
      <c r="D30" t="s">
        <v>33</v>
      </c>
      <c r="E30" s="3" t="s">
        <v>53</v>
      </c>
      <c r="F30">
        <f>F16/2112/F$19</f>
        <v>7.68</v>
      </c>
      <c r="G30" t="s">
        <v>19</v>
      </c>
      <c r="H30" s="4">
        <f t="shared" si="0"/>
        <v>7680</v>
      </c>
      <c r="J30"/>
    </row>
    <row r="31" spans="4:10" s="4" customFormat="1" ht="15" x14ac:dyDescent="0.2">
      <c r="D31" t="s">
        <v>33</v>
      </c>
      <c r="E31" s="3" t="s">
        <v>54</v>
      </c>
      <c r="F31">
        <f t="shared" ref="F31:F32" si="1">F17/2112/F$19</f>
        <v>7.68</v>
      </c>
      <c r="G31" t="s">
        <v>19</v>
      </c>
      <c r="H31" s="4">
        <f t="shared" si="0"/>
        <v>7680</v>
      </c>
      <c r="J31"/>
    </row>
    <row r="32" spans="4:10" s="4" customFormat="1" ht="15" x14ac:dyDescent="0.2">
      <c r="D32" t="s">
        <v>33</v>
      </c>
      <c r="E32" s="3" t="s">
        <v>55</v>
      </c>
      <c r="F32">
        <f t="shared" si="1"/>
        <v>11.52</v>
      </c>
      <c r="G32" t="s">
        <v>19</v>
      </c>
      <c r="H32" s="4">
        <f t="shared" si="0"/>
        <v>11520</v>
      </c>
      <c r="J32"/>
    </row>
    <row r="33" spans="4:10" s="4" customFormat="1" ht="15" x14ac:dyDescent="0.2">
      <c r="D33" t="s">
        <v>37</v>
      </c>
      <c r="E33" s="3" t="s">
        <v>25</v>
      </c>
      <c r="F33">
        <v>10</v>
      </c>
      <c r="G33" t="s">
        <v>19</v>
      </c>
      <c r="H33" s="4">
        <f t="shared" si="0"/>
        <v>10000</v>
      </c>
      <c r="J33"/>
    </row>
    <row r="34" spans="4:10" s="4" customFormat="1" ht="15" x14ac:dyDescent="0.2">
      <c r="D34"/>
      <c r="E34" s="2" t="s">
        <v>27</v>
      </c>
      <c r="F34">
        <f>H34*$I$24</f>
        <v>3.84</v>
      </c>
      <c r="G34" t="s">
        <v>19</v>
      </c>
      <c r="H34" s="4">
        <f>GCD(H25:H26,H27,H28,H29,H30,H31,H32)</f>
        <v>3840</v>
      </c>
      <c r="J34"/>
    </row>
    <row r="35" spans="4:10" s="4" customFormat="1" ht="15" x14ac:dyDescent="0.2">
      <c r="D35"/>
      <c r="E35" s="2" t="s">
        <v>30</v>
      </c>
      <c r="F35"/>
      <c r="G35"/>
      <c r="H35" s="4">
        <f>MAX(CEILING(LOG(H34/H33,2),1),0)</f>
        <v>0</v>
      </c>
      <c r="J35"/>
    </row>
    <row r="36" spans="4:10" s="4" customFormat="1" ht="15" x14ac:dyDescent="0.2">
      <c r="D36"/>
      <c r="E36" s="2"/>
      <c r="F36"/>
      <c r="G36"/>
      <c r="J36"/>
    </row>
    <row r="37" spans="4:10" ht="15" x14ac:dyDescent="0.2">
      <c r="F37" s="10" t="s">
        <v>36</v>
      </c>
    </row>
    <row r="38" spans="4:10" s="4" customFormat="1" x14ac:dyDescent="0.3">
      <c r="D38"/>
      <c r="E38" s="2" t="s">
        <v>26</v>
      </c>
      <c r="F38" s="10">
        <f>H38*$I$24</f>
        <v>3.84</v>
      </c>
      <c r="G38" t="s">
        <v>19</v>
      </c>
      <c r="H38" s="4">
        <f>H34*2^(-H35)</f>
        <v>3840</v>
      </c>
      <c r="J38"/>
    </row>
    <row r="39" spans="4:10" x14ac:dyDescent="0.3">
      <c r="E39" s="13" t="s">
        <v>42</v>
      </c>
      <c r="F39" s="13"/>
      <c r="G39" s="13"/>
      <c r="H39" s="13"/>
    </row>
  </sheetData>
  <mergeCells count="2">
    <mergeCell ref="D16:D18"/>
    <mergeCell ref="E39:H3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8b10b</vt:lpstr>
      <vt:lpstr>64b66b</vt:lpstr>
    </vt:vector>
  </TitlesOfParts>
  <Company>Texas Instruments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2019-05-02T07:22:24Z</dcterms:created>
  <dcterms:modified xsi:type="dcterms:W3CDTF">2020-06-26T06:53:04Z</dcterms:modified>
</cp:coreProperties>
</file>